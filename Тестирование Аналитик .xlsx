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lns\Downloads\"/>
    </mc:Choice>
  </mc:AlternateContent>
  <xr:revisionPtr revIDLastSave="0" documentId="13_ncr:1_{B7C7AC27-BD13-4B8A-9763-0EB3162B9A5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_1" sheetId="3" state="hidden" r:id="rId1"/>
    <sheet name="Ответ" sheetId="5" r:id="rId2"/>
    <sheet name="Sheet1" sheetId="1" r:id="rId3"/>
    <sheet name="Sheet2" sheetId="2" r:id="rId4"/>
    <sheet name="Last_week" sheetId="8" r:id="rId5"/>
    <sheet name="Sheet9" sheetId="13" r:id="rId6"/>
    <sheet name="Sheet4" sheetId="6" state="hidden" r:id="rId7"/>
    <sheet name="Detail2" sheetId="15" r:id="rId8"/>
    <sheet name="Detail1" sheetId="11" r:id="rId9"/>
  </sheets>
  <definedNames>
    <definedName name="_xlcn.WorksheetConnection_Sheet1AI1" hidden="1">Sheet1!$A:$I</definedName>
  </definedNames>
  <calcPr calcId="191029"/>
  <pivotCaches>
    <pivotCache cacheId="0" r:id="rId10"/>
    <pivotCache cacheId="1" r:id="rId11"/>
    <pivotCache cacheId="7" r:id="rId1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:$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r3VgOpKj0LI773MeeqSkWfF1GFyRyFpMSmwpz4xgUMs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505" i="1"/>
  <c r="F505" i="1"/>
  <c r="E5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3" i="1"/>
  <c r="G5" i="5"/>
  <c r="G7" i="5"/>
  <c r="G10" i="5"/>
  <c r="G11" i="5"/>
  <c r="G2" i="5"/>
  <c r="G3" i="5"/>
  <c r="G9" i="5"/>
  <c r="G19" i="5"/>
  <c r="G15" i="5"/>
  <c r="G14" i="5"/>
  <c r="G18" i="5"/>
  <c r="G4" i="5"/>
  <c r="G6" i="5"/>
  <c r="G13" i="5"/>
  <c r="G17" i="5"/>
  <c r="G12" i="5"/>
  <c r="G16" i="5"/>
  <c r="G8" i="5"/>
  <c r="C2" i="5"/>
  <c r="C7" i="5"/>
  <c r="C18" i="5"/>
  <c r="C11" i="5"/>
  <c r="C4" i="5"/>
  <c r="C14" i="5"/>
  <c r="C13" i="5"/>
  <c r="C10" i="5"/>
  <c r="C8" i="5"/>
  <c r="C9" i="5"/>
  <c r="C17" i="5"/>
  <c r="C12" i="5"/>
  <c r="C19" i="5"/>
  <c r="C6" i="5"/>
  <c r="C3" i="5"/>
  <c r="C15" i="5"/>
  <c r="C16" i="5"/>
  <c r="C5" i="5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FABB3-D3EC-4095-B8A9-CF6B7FAD80E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FD43B65-0BEC-41CB-8937-698B561B7E51}" name="WorksheetConnection_Sheet1!$A:$I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I1"/>
        </x15:connection>
      </ext>
    </extLst>
  </connection>
</connections>
</file>

<file path=xl/sharedStrings.xml><?xml version="1.0" encoding="utf-8"?>
<sst xmlns="http://schemas.openxmlformats.org/spreadsheetml/2006/main" count="2687" uniqueCount="544">
  <si>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</si>
  <si>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</si>
  <si>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</si>
  <si>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</si>
  <si>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</si>
  <si>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</si>
  <si>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</si>
  <si>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</si>
  <si>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</si>
  <si>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</si>
  <si>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</si>
  <si>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</si>
  <si>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</si>
  <si>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</si>
  <si>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</si>
  <si>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</si>
  <si>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</si>
  <si>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</si>
  <si>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</si>
  <si>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</si>
  <si>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</si>
  <si>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</si>
  <si>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</si>
  <si>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</si>
  <si>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</si>
  <si>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</si>
  <si>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</si>
  <si>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</si>
  <si>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</si>
  <si>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Column Labels</t>
  </si>
  <si>
    <t>Sum of Товарооборот, руб</t>
  </si>
  <si>
    <t>Total Sum of Товарооборот, руб</t>
  </si>
  <si>
    <t>Count of Товарооборот на склад</t>
  </si>
  <si>
    <t>2020-04-28Волгоград</t>
  </si>
  <si>
    <t>2020-04-28Екатеринбург</t>
  </si>
  <si>
    <t>2020-04-28Казань</t>
  </si>
  <si>
    <t>2020-04-28Кемерово</t>
  </si>
  <si>
    <t>2020-04-28Краснодар</t>
  </si>
  <si>
    <t>2020-04-28Москва Восток</t>
  </si>
  <si>
    <t>2020-04-28Москва Запад</t>
  </si>
  <si>
    <t>2020-04-28Нижний Новгород</t>
  </si>
  <si>
    <t>2020-04-28Новосибирск</t>
  </si>
  <si>
    <t>2020-04-28Пермь</t>
  </si>
  <si>
    <t>2020-04-28Санкт-Петербург Север</t>
  </si>
  <si>
    <t>2020-04-28Санкт-Петербург Юг</t>
  </si>
  <si>
    <t>2020-04-28Тольятти</t>
  </si>
  <si>
    <t>2020-04-29Волгоград</t>
  </si>
  <si>
    <t>2020-04-29Екатеринбург</t>
  </si>
  <si>
    <t>2020-04-29Казань</t>
  </si>
  <si>
    <t>2020-04-29Кемерово</t>
  </si>
  <si>
    <t>2020-04-29Краснодар</t>
  </si>
  <si>
    <t>2020-04-29Москва Восток</t>
  </si>
  <si>
    <t>2020-04-29Москва Запад</t>
  </si>
  <si>
    <t>2020-04-29Нижний Новгород</t>
  </si>
  <si>
    <t>2020-04-29Новосибирск</t>
  </si>
  <si>
    <t>2020-04-29Пермь</t>
  </si>
  <si>
    <t>2020-04-29Санкт-Петербург Север</t>
  </si>
  <si>
    <t>2020-04-29Санкт-Петербург Юг</t>
  </si>
  <si>
    <t>2020-04-29Тольятти</t>
  </si>
  <si>
    <t>2020-04-30Волгоград</t>
  </si>
  <si>
    <t>2020-04-30Екатеринбург</t>
  </si>
  <si>
    <t>2020-04-30Казань</t>
  </si>
  <si>
    <t>2020-04-30Кемерово</t>
  </si>
  <si>
    <t>2020-04-30Краснодар</t>
  </si>
  <si>
    <t>2020-04-30Москва Восток</t>
  </si>
  <si>
    <t>2020-04-30Москва Запад</t>
  </si>
  <si>
    <t>2020-04-30Нижний Новгород</t>
  </si>
  <si>
    <t>2020-04-30Новосибирск</t>
  </si>
  <si>
    <t>2020-04-30Пермь</t>
  </si>
  <si>
    <t>2020-04-30Ростов-на-Дону</t>
  </si>
  <si>
    <t>2020-04-30Санкт-Петербург Север</t>
  </si>
  <si>
    <t>2020-04-30Санкт-Петербург Юг</t>
  </si>
  <si>
    <t>2020-04-30Тольятти</t>
  </si>
  <si>
    <t>2020-05-01Волгоград</t>
  </si>
  <si>
    <t>2020-05-01Екатеринбург</t>
  </si>
  <si>
    <t>2020-05-01Казань</t>
  </si>
  <si>
    <t>2020-05-01Кемерово</t>
  </si>
  <si>
    <t>2020-05-01Краснодар</t>
  </si>
  <si>
    <t>2020-05-01Москва Восток</t>
  </si>
  <si>
    <t>2020-05-01Москва Запад</t>
  </si>
  <si>
    <t>2020-05-01Нижний Новгород</t>
  </si>
  <si>
    <t>2020-05-01Новосибирск</t>
  </si>
  <si>
    <t>2020-05-01Пермь</t>
  </si>
  <si>
    <t>2020-05-01Ростов-на-Дону</t>
  </si>
  <si>
    <t>2020-05-01Санкт-Петербург Север</t>
  </si>
  <si>
    <t>2020-05-01Санкт-Петербург Юг</t>
  </si>
  <si>
    <t>2020-05-01Тольятти</t>
  </si>
  <si>
    <t>2020-05-02Волгоград</t>
  </si>
  <si>
    <t>2020-05-02Екатеринбург</t>
  </si>
  <si>
    <t>2020-05-02Казань</t>
  </si>
  <si>
    <t>2020-05-02Кемерово</t>
  </si>
  <si>
    <t>2020-05-02Краснодар</t>
  </si>
  <si>
    <t>2020-05-02Москва Восток</t>
  </si>
  <si>
    <t>2020-05-02Москва Запад</t>
  </si>
  <si>
    <t>2020-05-02Нижний Новгород</t>
  </si>
  <si>
    <t>2020-05-02Новосибирск</t>
  </si>
  <si>
    <t>2020-05-02Пермь</t>
  </si>
  <si>
    <t>2020-05-02Ростов-на-Дону</t>
  </si>
  <si>
    <t>2020-05-02Санкт-Петербург Север</t>
  </si>
  <si>
    <t>2020-05-02Санкт-Петербург Юг</t>
  </si>
  <si>
    <t>2020-05-02Тольятти</t>
  </si>
  <si>
    <t>2020-05-03Волгоград</t>
  </si>
  <si>
    <t>2020-05-03Екатеринбург</t>
  </si>
  <si>
    <t>2020-05-03Казань</t>
  </si>
  <si>
    <t>2020-05-03Кемерово</t>
  </si>
  <si>
    <t>2020-05-03Краснодар</t>
  </si>
  <si>
    <t>2020-05-03Москва Восток</t>
  </si>
  <si>
    <t>2020-05-03Москва Запад</t>
  </si>
  <si>
    <t>2020-05-03Нижний Новгород</t>
  </si>
  <si>
    <t>2020-05-03Новосибирск</t>
  </si>
  <si>
    <t>2020-05-03Пермь</t>
  </si>
  <si>
    <t>2020-05-03Ростов-на-Дону</t>
  </si>
  <si>
    <t>2020-05-03Санкт-Петербург Север</t>
  </si>
  <si>
    <t>2020-05-03Санкт-Петербург Юг</t>
  </si>
  <si>
    <t>2020-05-03Тольятти</t>
  </si>
  <si>
    <t>2020-05-04Волгоград</t>
  </si>
  <si>
    <t>2020-05-04Екатеринбург</t>
  </si>
  <si>
    <t>2020-05-04Казань</t>
  </si>
  <si>
    <t>2020-05-04Кемерово</t>
  </si>
  <si>
    <t>2020-05-04Краснодар</t>
  </si>
  <si>
    <t>2020-05-04Москва Восток</t>
  </si>
  <si>
    <t>2020-05-04Москва Запад</t>
  </si>
  <si>
    <t>2020-05-04Нижний Новгород</t>
  </si>
  <si>
    <t>2020-05-04Новосибирск</t>
  </si>
  <si>
    <t>2020-05-04Пермь</t>
  </si>
  <si>
    <t>2020-05-04Ростов-на-Дону</t>
  </si>
  <si>
    <t>2020-05-04Санкт-Петербург Север</t>
  </si>
  <si>
    <t>2020-05-04Санкт-Петербург Юг</t>
  </si>
  <si>
    <t>2020-05-04Тольятти</t>
  </si>
  <si>
    <t>2020-05-05Волгоград</t>
  </si>
  <si>
    <t>2020-05-05Екатеринбург</t>
  </si>
  <si>
    <t>2020-05-05Казань</t>
  </si>
  <si>
    <t>2020-05-05Кемерово</t>
  </si>
  <si>
    <t>2020-05-05Краснодар</t>
  </si>
  <si>
    <t>2020-05-05Москва Восток</t>
  </si>
  <si>
    <t>2020-05-05Москва Запад</t>
  </si>
  <si>
    <t>2020-05-05Нижний Новгород</t>
  </si>
  <si>
    <t>2020-05-05Новосибирск</t>
  </si>
  <si>
    <t>2020-05-05Пермь</t>
  </si>
  <si>
    <t>2020-05-05Ростов-на-Дону</t>
  </si>
  <si>
    <t>2020-05-05Санкт-Петербург Север</t>
  </si>
  <si>
    <t>2020-05-05Санкт-Петербург Юг</t>
  </si>
  <si>
    <t>2020-05-05Тольятти</t>
  </si>
  <si>
    <t>2020-05-06Волгоград</t>
  </si>
  <si>
    <t>2020-05-06Екатеринбург</t>
  </si>
  <si>
    <t>2020-05-06Казань</t>
  </si>
  <si>
    <t>2020-05-06Кемерово</t>
  </si>
  <si>
    <t>2020-05-06Краснодар</t>
  </si>
  <si>
    <t>2020-05-06Москва Восток</t>
  </si>
  <si>
    <t>2020-05-06Москва Запад</t>
  </si>
  <si>
    <t>2020-05-06Нижний Новгород</t>
  </si>
  <si>
    <t>2020-05-06Новосибирск</t>
  </si>
  <si>
    <t>2020-05-06Пермь</t>
  </si>
  <si>
    <t>2020-05-06Ростов-на-Дону</t>
  </si>
  <si>
    <t>2020-05-06Санкт-Петербург Север</t>
  </si>
  <si>
    <t>2020-05-06Санкт-Петербург Юг</t>
  </si>
  <si>
    <t>2020-05-06Тольятти</t>
  </si>
  <si>
    <t>2020-05-07Волгоград</t>
  </si>
  <si>
    <t>2020-05-07Екатеринбург</t>
  </si>
  <si>
    <t>2020-05-07Казань</t>
  </si>
  <si>
    <t>2020-05-07Кемерово</t>
  </si>
  <si>
    <t>2020-05-07Краснодар</t>
  </si>
  <si>
    <t>2020-05-07Москва Восток</t>
  </si>
  <si>
    <t>2020-05-07Москва Запад</t>
  </si>
  <si>
    <t>2020-05-07Нижний Новгород</t>
  </si>
  <si>
    <t>2020-05-07Новосибирск</t>
  </si>
  <si>
    <t>2020-05-07Пермь</t>
  </si>
  <si>
    <t>2020-05-07Ростов-на-Дону</t>
  </si>
  <si>
    <t>2020-05-07Санкт-Петербург Север</t>
  </si>
  <si>
    <t>2020-05-07Санкт-Петербург Юг</t>
  </si>
  <si>
    <t>2020-05-07Тольятти</t>
  </si>
  <si>
    <t>2020-05-08Волгоград</t>
  </si>
  <si>
    <t>2020-05-08Екатеринбург</t>
  </si>
  <si>
    <t>2020-05-08Казань</t>
  </si>
  <si>
    <t>2020-05-08Кемерово</t>
  </si>
  <si>
    <t>2020-05-08Краснодар</t>
  </si>
  <si>
    <t>2020-05-08Москва Восток</t>
  </si>
  <si>
    <t>2020-05-08Москва Запад</t>
  </si>
  <si>
    <t>2020-05-08Нижний Новгород</t>
  </si>
  <si>
    <t>2020-05-08Новосибирск</t>
  </si>
  <si>
    <t>2020-05-08Пермь</t>
  </si>
  <si>
    <t>2020-05-08Ростов-на-Дону</t>
  </si>
  <si>
    <t>2020-05-08Санкт-Петербург Север</t>
  </si>
  <si>
    <t>2020-05-08Санкт-Петербург Юг</t>
  </si>
  <si>
    <t>2020-05-08Тольятти</t>
  </si>
  <si>
    <t>2020-05-09Волгоград</t>
  </si>
  <si>
    <t>2020-05-09Екатеринбург</t>
  </si>
  <si>
    <t>2020-05-09Казань</t>
  </si>
  <si>
    <t>2020-05-09Кемерово</t>
  </si>
  <si>
    <t>2020-05-09Краснодар</t>
  </si>
  <si>
    <t>2020-05-09Москва Восток</t>
  </si>
  <si>
    <t>2020-05-09Москва Запад</t>
  </si>
  <si>
    <t>2020-05-09Нижний Новгород</t>
  </si>
  <si>
    <t>2020-05-09Новосибирск</t>
  </si>
  <si>
    <t>2020-05-09Пермь</t>
  </si>
  <si>
    <t>2020-05-09Ростов-на-Дону</t>
  </si>
  <si>
    <t>2020-05-09Санкт-Петербург Север</t>
  </si>
  <si>
    <t>2020-05-09Санкт-Петербург Юг</t>
  </si>
  <si>
    <t>2020-05-09Тольятти</t>
  </si>
  <si>
    <t>2020-05-10Волгоград</t>
  </si>
  <si>
    <t>2020-05-10Екатеринбург</t>
  </si>
  <si>
    <t>2020-05-10Казань</t>
  </si>
  <si>
    <t>2020-05-10Кемерово</t>
  </si>
  <si>
    <t>2020-05-10Краснодар</t>
  </si>
  <si>
    <t>2020-05-10Москва Восток</t>
  </si>
  <si>
    <t>2020-05-10Москва Запад</t>
  </si>
  <si>
    <t>2020-05-10Нижний Новгород</t>
  </si>
  <si>
    <t>2020-05-10Новосибирск</t>
  </si>
  <si>
    <t>2020-05-10Пермь</t>
  </si>
  <si>
    <t>2020-05-10Ростов-на-Дону</t>
  </si>
  <si>
    <t>2020-05-10Санкт-Петербург Север</t>
  </si>
  <si>
    <t>2020-05-10Санкт-Петербург Юг</t>
  </si>
  <si>
    <t>2020-05-10Тольятти</t>
  </si>
  <si>
    <t>2020-05-11Волгоград</t>
  </si>
  <si>
    <t>2020-05-11Екатеринбург</t>
  </si>
  <si>
    <t>2020-05-11Казань</t>
  </si>
  <si>
    <t>2020-05-11Кемерово</t>
  </si>
  <si>
    <t>2020-05-11Краснодар</t>
  </si>
  <si>
    <t>2020-05-11Москва Восток</t>
  </si>
  <si>
    <t>2020-05-11Москва Запад</t>
  </si>
  <si>
    <t>2020-05-11Нижний Новгород</t>
  </si>
  <si>
    <t>2020-05-11Новосибирск</t>
  </si>
  <si>
    <t>2020-05-11Пермь</t>
  </si>
  <si>
    <t>2020-05-11Ростов-на-Дону</t>
  </si>
  <si>
    <t>2020-05-11Санкт-Петербург Север</t>
  </si>
  <si>
    <t>2020-05-11Санкт-Петербург Юг</t>
  </si>
  <si>
    <t>2020-05-11Тольятти</t>
  </si>
  <si>
    <t>2020-05-12Волгоград</t>
  </si>
  <si>
    <t>2020-05-12Екатеринбург</t>
  </si>
  <si>
    <t>2020-05-12Казань</t>
  </si>
  <si>
    <t>2020-05-12Кемерово</t>
  </si>
  <si>
    <t>2020-05-12Краснодар</t>
  </si>
  <si>
    <t>2020-05-12Москва Восток</t>
  </si>
  <si>
    <t>2020-05-12Москва Запад</t>
  </si>
  <si>
    <t>2020-05-12Нижний Новгород</t>
  </si>
  <si>
    <t>2020-05-12Новосибирск</t>
  </si>
  <si>
    <t>2020-05-12Пермь</t>
  </si>
  <si>
    <t>2020-05-12Ростов-на-Дону</t>
  </si>
  <si>
    <t>2020-05-12Санкт-Петербург Север</t>
  </si>
  <si>
    <t>2020-05-12Санкт-Петербург Юг</t>
  </si>
  <si>
    <t>2020-05-12Тольятти</t>
  </si>
  <si>
    <t>2020-05-13Волгоград</t>
  </si>
  <si>
    <t>2020-05-13Екатеринбург</t>
  </si>
  <si>
    <t>2020-05-13Казань</t>
  </si>
  <si>
    <t>2020-05-13Кемерово</t>
  </si>
  <si>
    <t>2020-05-13Краснодар</t>
  </si>
  <si>
    <t>2020-05-13Москва Восток</t>
  </si>
  <si>
    <t>2020-05-13Москва Запад</t>
  </si>
  <si>
    <t>2020-05-13Нижний Новгород</t>
  </si>
  <si>
    <t>2020-05-13Новосибирск</t>
  </si>
  <si>
    <t>2020-05-13Пермь</t>
  </si>
  <si>
    <t>2020-05-13Ростов-на-Дону</t>
  </si>
  <si>
    <t>2020-05-13Санкт-Петербург Север</t>
  </si>
  <si>
    <t>2020-05-13Санкт-Петербург Юг</t>
  </si>
  <si>
    <t>2020-05-13Тольятти</t>
  </si>
  <si>
    <t>2020-05-14Волгоград</t>
  </si>
  <si>
    <t>2020-05-14Екатеринбург</t>
  </si>
  <si>
    <t>2020-05-14Казань</t>
  </si>
  <si>
    <t>2020-05-14Кемерово</t>
  </si>
  <si>
    <t>2020-05-14Краснодар</t>
  </si>
  <si>
    <t>2020-05-14Москва Восток</t>
  </si>
  <si>
    <t>2020-05-14Москва Запад</t>
  </si>
  <si>
    <t>2020-05-14Нижний Новгород</t>
  </si>
  <si>
    <t>2020-05-14Новосибирск</t>
  </si>
  <si>
    <t>2020-05-14Пермь</t>
  </si>
  <si>
    <t>2020-05-14Ростов-на-Дону</t>
  </si>
  <si>
    <t>2020-05-14Санкт-Петербург Север</t>
  </si>
  <si>
    <t>2020-05-14Санкт-Петербург Юг</t>
  </si>
  <si>
    <t>2020-05-14Тольятти</t>
  </si>
  <si>
    <t>2020-05-15Волгоград</t>
  </si>
  <si>
    <t>2020-05-15Екатеринбург</t>
  </si>
  <si>
    <t>2020-05-15Казань</t>
  </si>
  <si>
    <t>2020-05-15Кемерово</t>
  </si>
  <si>
    <t>2020-05-15Краснодар</t>
  </si>
  <si>
    <t>2020-05-15Москва Восток</t>
  </si>
  <si>
    <t>2020-05-15Москва Запад</t>
  </si>
  <si>
    <t>2020-05-15Нижний Новгород</t>
  </si>
  <si>
    <t>2020-05-15Новосибирск</t>
  </si>
  <si>
    <t>2020-05-15Пермь</t>
  </si>
  <si>
    <t>2020-05-15Ростов-на-Дону</t>
  </si>
  <si>
    <t>2020-05-15Санкт-Петербург Север</t>
  </si>
  <si>
    <t>2020-05-15Санкт-Петербург Юг</t>
  </si>
  <si>
    <t>2020-05-15Тольятти</t>
  </si>
  <si>
    <t>2020-05-16Волгоград</t>
  </si>
  <si>
    <t>2020-05-16Екатеринбург</t>
  </si>
  <si>
    <t>2020-05-16Казань</t>
  </si>
  <si>
    <t>2020-05-16Кемерово</t>
  </si>
  <si>
    <t>2020-05-16Краснодар</t>
  </si>
  <si>
    <t>2020-05-16Москва Восток</t>
  </si>
  <si>
    <t>2020-05-16Москва Запад</t>
  </si>
  <si>
    <t>2020-05-16Нижний Новгород</t>
  </si>
  <si>
    <t>2020-05-16Новосибирск</t>
  </si>
  <si>
    <t>2020-05-16Пермь</t>
  </si>
  <si>
    <t>2020-05-16Ростов-на-Дону</t>
  </si>
  <si>
    <t>2020-05-16Санкт-Петербург Север</t>
  </si>
  <si>
    <t>2020-05-16Санкт-Петербург Юг</t>
  </si>
  <si>
    <t>2020-05-16Тольятти</t>
  </si>
  <si>
    <t>2020-05-17Волгоград</t>
  </si>
  <si>
    <t>2020-05-17Екатеринбург</t>
  </si>
  <si>
    <t>2020-05-17Казань</t>
  </si>
  <si>
    <t>2020-05-17Кемерово</t>
  </si>
  <si>
    <t>2020-05-17Краснодар</t>
  </si>
  <si>
    <t>2020-05-17Москва Восток</t>
  </si>
  <si>
    <t>2020-05-17Москва Запад</t>
  </si>
  <si>
    <t>2020-05-17Нижний Новгород</t>
  </si>
  <si>
    <t>2020-05-17Новосибирск</t>
  </si>
  <si>
    <t>2020-05-17Пермь</t>
  </si>
  <si>
    <t>2020-05-17Ростов-на-Дону</t>
  </si>
  <si>
    <t>2020-05-17Санкт-Петербург Север</t>
  </si>
  <si>
    <t>2020-05-17Санкт-Петербург Юг</t>
  </si>
  <si>
    <t>2020-05-17Тольятти</t>
  </si>
  <si>
    <t>2020-05-18Волгоград</t>
  </si>
  <si>
    <t>2020-05-18Екатеринбург</t>
  </si>
  <si>
    <t>2020-05-18Казань</t>
  </si>
  <si>
    <t>2020-05-18Кемерово</t>
  </si>
  <si>
    <t>2020-05-18Краснодар</t>
  </si>
  <si>
    <t>2020-05-18Москва Восток</t>
  </si>
  <si>
    <t>2020-05-18Москва Запад</t>
  </si>
  <si>
    <t>2020-05-18Нижний Новгород</t>
  </si>
  <si>
    <t>2020-05-18Новосибирск</t>
  </si>
  <si>
    <t>2020-05-18Пермь</t>
  </si>
  <si>
    <t>2020-05-18Ростов-на-Дону</t>
  </si>
  <si>
    <t>2020-05-18Санкт-Петербург Север</t>
  </si>
  <si>
    <t>2020-05-18Санкт-Петербург Юг</t>
  </si>
  <si>
    <t>2020-05-18Тольятти</t>
  </si>
  <si>
    <t>2020-05-19Волгоград</t>
  </si>
  <si>
    <t>2020-05-19Екатеринбург</t>
  </si>
  <si>
    <t>2020-05-19Казань</t>
  </si>
  <si>
    <t>2020-05-19Кемерово</t>
  </si>
  <si>
    <t>2020-05-19Краснодар</t>
  </si>
  <si>
    <t>2020-05-19Москва Восток</t>
  </si>
  <si>
    <t>2020-05-19Москва Запад</t>
  </si>
  <si>
    <t>2020-05-19Нижний Новгород</t>
  </si>
  <si>
    <t>2020-05-19Новосибирск</t>
  </si>
  <si>
    <t>2020-05-19Пермь</t>
  </si>
  <si>
    <t>2020-05-19Ростов-на-Дону</t>
  </si>
  <si>
    <t>2020-05-19Санкт-Петербург Север</t>
  </si>
  <si>
    <t>2020-05-19Санкт-Петербург Юг</t>
  </si>
  <si>
    <t>2020-05-19Тольятти</t>
  </si>
  <si>
    <t>2020-05-20Волгоград</t>
  </si>
  <si>
    <t>2020-05-20Екатеринбург</t>
  </si>
  <si>
    <t>2020-05-20Казань</t>
  </si>
  <si>
    <t>2020-05-20Кемерово</t>
  </si>
  <si>
    <t>2020-05-20Краснодар</t>
  </si>
  <si>
    <t>2020-05-20Москва Восток</t>
  </si>
  <si>
    <t>2020-05-20Москва Запад</t>
  </si>
  <si>
    <t>2020-05-20Нижний Новгород</t>
  </si>
  <si>
    <t>2020-05-20Новосибирск</t>
  </si>
  <si>
    <t>2020-05-20Пермь</t>
  </si>
  <si>
    <t>2020-05-20Ростов-на-Дону</t>
  </si>
  <si>
    <t>2020-05-20Санкт-Петербург Север</t>
  </si>
  <si>
    <t>2020-05-20Санкт-Петербург Юг</t>
  </si>
  <si>
    <t>2020-05-20Тольятти</t>
  </si>
  <si>
    <t>2020-05-21Волгоград</t>
  </si>
  <si>
    <t>2020-05-21Екатеринбург</t>
  </si>
  <si>
    <t>2020-05-21Казань</t>
  </si>
  <si>
    <t>2020-05-21Кемерово</t>
  </si>
  <si>
    <t>2020-05-21Краснодар</t>
  </si>
  <si>
    <t>2020-05-21Москва Восток</t>
  </si>
  <si>
    <t>2020-05-21Москва Запад</t>
  </si>
  <si>
    <t>2020-05-21Нижний Новгород</t>
  </si>
  <si>
    <t>2020-05-21Новосибирск</t>
  </si>
  <si>
    <t>2020-05-21Пермь</t>
  </si>
  <si>
    <t>2020-05-21Ростов-на-Дону</t>
  </si>
  <si>
    <t>2020-05-21Санкт-Петербург Север</t>
  </si>
  <si>
    <t>2020-05-21Санкт-Петербург Юг</t>
  </si>
  <si>
    <t>2020-05-21Тольятти</t>
  </si>
  <si>
    <t>2020-05-22Волгоград</t>
  </si>
  <si>
    <t>2020-05-22Екатеринбург</t>
  </si>
  <si>
    <t>2020-05-22Казань</t>
  </si>
  <si>
    <t>2020-05-22Кемерово</t>
  </si>
  <si>
    <t>2020-05-22Краснодар</t>
  </si>
  <si>
    <t>2020-05-22Москва Восток</t>
  </si>
  <si>
    <t>2020-05-22Москва Запад</t>
  </si>
  <si>
    <t>2020-05-22Нижний Новгород</t>
  </si>
  <si>
    <t>2020-05-22Новосибирск</t>
  </si>
  <si>
    <t>2020-05-22Пермь</t>
  </si>
  <si>
    <t>2020-05-22Ростов-на-Дону</t>
  </si>
  <si>
    <t>2020-05-22Санкт-Петербург Север</t>
  </si>
  <si>
    <t>2020-05-22Санкт-Петербург Юг</t>
  </si>
  <si>
    <t>2020-05-22Тольятти</t>
  </si>
  <si>
    <t>2020-05-23Волгоград</t>
  </si>
  <si>
    <t>2020-05-23Екатеринбург</t>
  </si>
  <si>
    <t>2020-05-23Казань</t>
  </si>
  <si>
    <t>2020-05-23Кемерово</t>
  </si>
  <si>
    <t>2020-05-23Краснодар</t>
  </si>
  <si>
    <t>2020-05-23Москва Восток</t>
  </si>
  <si>
    <t>2020-05-23Москва Запад</t>
  </si>
  <si>
    <t>2020-05-23Нижний Новгород</t>
  </si>
  <si>
    <t>2020-05-23Новосибирск</t>
  </si>
  <si>
    <t>2020-05-23Пермь</t>
  </si>
  <si>
    <t>2020-05-23Ростов-на-Дону</t>
  </si>
  <si>
    <t>2020-05-23Санкт-Петербург Север</t>
  </si>
  <si>
    <t>2020-05-23Санкт-Петербург Юг</t>
  </si>
  <si>
    <t>2020-05-23Тольятти</t>
  </si>
  <si>
    <t>2020-05-24Волгоград</t>
  </si>
  <si>
    <t>2020-05-24Екатеринбург</t>
  </si>
  <si>
    <t>2020-05-24Казань</t>
  </si>
  <si>
    <t>2020-05-24Кемерово</t>
  </si>
  <si>
    <t>2020-05-24Краснодар</t>
  </si>
  <si>
    <t>2020-05-24Москва Восток</t>
  </si>
  <si>
    <t>2020-05-24Москва Запад</t>
  </si>
  <si>
    <t>2020-05-24Нижний Новгород</t>
  </si>
  <si>
    <t>2020-05-24Новосибирск</t>
  </si>
  <si>
    <t>2020-05-24Пермь</t>
  </si>
  <si>
    <t>2020-05-24Ростов-на-Дону</t>
  </si>
  <si>
    <t>2020-05-24Санкт-Петербург Север</t>
  </si>
  <si>
    <t>2020-05-24Санкт-Петербург Юг</t>
  </si>
  <si>
    <t>2020-05-24Тольятти</t>
  </si>
  <si>
    <t>2020-05-25Волгоград</t>
  </si>
  <si>
    <t>2020-05-25Екатеринбург</t>
  </si>
  <si>
    <t>2020-05-25Казань</t>
  </si>
  <si>
    <t>2020-05-25Кемерово</t>
  </si>
  <si>
    <t>2020-05-25Краснодар</t>
  </si>
  <si>
    <t>2020-05-25Москва Восток</t>
  </si>
  <si>
    <t>2020-05-25Москва Запад</t>
  </si>
  <si>
    <t>2020-05-25Нижний Новгород</t>
  </si>
  <si>
    <t>2020-05-25Новосибирск</t>
  </si>
  <si>
    <t>2020-05-25Пермь</t>
  </si>
  <si>
    <t>2020-05-25Ростов-на-Дону</t>
  </si>
  <si>
    <t>2020-05-25Санкт-Петербург Север</t>
  </si>
  <si>
    <t>2020-05-25Санкт-Петербург Юг</t>
  </si>
  <si>
    <t>2020-05-25Тольятти</t>
  </si>
  <si>
    <t>2020-05-26Волгоград</t>
  </si>
  <si>
    <t>2020-05-26Екатеринбург</t>
  </si>
  <si>
    <t>2020-05-26Казань</t>
  </si>
  <si>
    <t>2020-05-26Кемерово</t>
  </si>
  <si>
    <t>2020-05-26Краснодар</t>
  </si>
  <si>
    <t>2020-05-26Москва Восток</t>
  </si>
  <si>
    <t>2020-05-26Москва Запад</t>
  </si>
  <si>
    <t>2020-05-26Нижний Новгород</t>
  </si>
  <si>
    <t>2020-05-26Новосибирск</t>
  </si>
  <si>
    <t>2020-05-26Пермь</t>
  </si>
  <si>
    <t>2020-05-26Ростов-на-Дону</t>
  </si>
  <si>
    <t>2020-05-26Санкт-Петербург Север</t>
  </si>
  <si>
    <t>2020-05-26Санкт-Петербург Юг</t>
  </si>
  <si>
    <t>2020-05-26Тольятти</t>
  </si>
  <si>
    <t>2020-05-26Тюмень</t>
  </si>
  <si>
    <t>2020-05-27Волгоград</t>
  </si>
  <si>
    <t>2020-05-27Екатеринбург</t>
  </si>
  <si>
    <t>2020-05-27Казань</t>
  </si>
  <si>
    <t>2020-05-27Кемерово</t>
  </si>
  <si>
    <t>2020-05-27Краснодар</t>
  </si>
  <si>
    <t>2020-05-27Москва Восток</t>
  </si>
  <si>
    <t>2020-05-27Москва Запад</t>
  </si>
  <si>
    <t>2020-05-27Нижний Новгород</t>
  </si>
  <si>
    <t>2020-05-27Новосибирск</t>
  </si>
  <si>
    <t>2020-05-27Пермь</t>
  </si>
  <si>
    <t>2020-05-27Ростов-на-Дону</t>
  </si>
  <si>
    <t>2020-05-27Санкт-Петербург Север</t>
  </si>
  <si>
    <t>2020-05-27Санкт-Петербург Юг</t>
  </si>
  <si>
    <t>2020-05-27Тольятти</t>
  </si>
  <si>
    <t>2020-05-27Тюмень</t>
  </si>
  <si>
    <t>2020-05-28Волгоград</t>
  </si>
  <si>
    <t>2020-05-28Екатеринбург</t>
  </si>
  <si>
    <t>2020-05-28Казань</t>
  </si>
  <si>
    <t>2020-05-28Кемерово</t>
  </si>
  <si>
    <t>2020-05-28Краснодар</t>
  </si>
  <si>
    <t>2020-05-28Москва Восток</t>
  </si>
  <si>
    <t>2020-05-28Москва Запад</t>
  </si>
  <si>
    <t>2020-05-28Нижний Новгород</t>
  </si>
  <si>
    <t>2020-05-28Новосибирск</t>
  </si>
  <si>
    <t>2020-05-28Пермь</t>
  </si>
  <si>
    <t>2020-05-28Ростов-на-Дону</t>
  </si>
  <si>
    <t>2020-05-28Самара</t>
  </si>
  <si>
    <t>2020-05-28Санкт-Петербург Север</t>
  </si>
  <si>
    <t>2020-05-28Санкт-Петербург Юг</t>
  </si>
  <si>
    <t>2020-05-28Тольятти</t>
  </si>
  <si>
    <t>2020-05-28Тюмень</t>
  </si>
  <si>
    <t>2020-05-29Волгоград</t>
  </si>
  <si>
    <t>2020-05-29Екатеринбург</t>
  </si>
  <si>
    <t>2020-05-29Казань</t>
  </si>
  <si>
    <t>2020-05-29Кемерово</t>
  </si>
  <si>
    <t>2020-05-29Краснодар</t>
  </si>
  <si>
    <t>2020-05-29Москва Восток</t>
  </si>
  <si>
    <t>2020-05-29Москва Запад</t>
  </si>
  <si>
    <t>2020-05-29Нижний Новгород</t>
  </si>
  <si>
    <t>2020-05-29Новосибирск</t>
  </si>
  <si>
    <t>2020-05-29Пермь</t>
  </si>
  <si>
    <t>2020-05-29Ростов-на-Дону</t>
  </si>
  <si>
    <t>2020-05-29Самара</t>
  </si>
  <si>
    <t>2020-05-29Санкт-Петербург Север</t>
  </si>
  <si>
    <t>2020-05-29Санкт-Петербург Юг</t>
  </si>
  <si>
    <t>2020-05-29Тольятти</t>
  </si>
  <si>
    <t>2020-05-29Тюмень</t>
  </si>
  <si>
    <t>2020-05-30Волгоград</t>
  </si>
  <si>
    <t>2020-05-30Екатеринбург</t>
  </si>
  <si>
    <t>2020-05-30Казань</t>
  </si>
  <si>
    <t>2020-05-30Кемерово</t>
  </si>
  <si>
    <t>2020-05-30Краснодар</t>
  </si>
  <si>
    <t>2020-05-30Москва Восток</t>
  </si>
  <si>
    <t>2020-05-30Москва Запад</t>
  </si>
  <si>
    <t>2020-05-30Нижний Новгород</t>
  </si>
  <si>
    <t>2020-05-30Новосибирск</t>
  </si>
  <si>
    <t>2020-05-30Пермь</t>
  </si>
  <si>
    <t>2020-05-30Ростов-на-Дону</t>
  </si>
  <si>
    <t>2020-05-30Самара</t>
  </si>
  <si>
    <t>2020-05-30Санкт-Петербург Север</t>
  </si>
  <si>
    <t>2020-05-30Санкт-Петербург Юг</t>
  </si>
  <si>
    <t>2020-05-30Тольятти</t>
  </si>
  <si>
    <t>2020-05-30Тюмень</t>
  </si>
  <si>
    <t>2020-05-31Волгоград</t>
  </si>
  <si>
    <t>2020-05-31Екатеринбург</t>
  </si>
  <si>
    <t>2020-05-31Казань</t>
  </si>
  <si>
    <t>2020-05-31Кемерово</t>
  </si>
  <si>
    <t>2020-05-31Краснодар</t>
  </si>
  <si>
    <t>2020-05-31Москва Восток</t>
  </si>
  <si>
    <t>2020-05-31Москва Запад</t>
  </si>
  <si>
    <t>2020-05-31Нижний Новгород</t>
  </si>
  <si>
    <t>2020-05-31Новосибирск</t>
  </si>
  <si>
    <t>2020-05-31Пермь</t>
  </si>
  <si>
    <t>2020-05-31Ростов-на-Дону</t>
  </si>
  <si>
    <t>2020-05-31Самара</t>
  </si>
  <si>
    <t>2020-05-31Санкт-Петербург Север</t>
  </si>
  <si>
    <t>2020-05-31Санкт-Петербург Юг</t>
  </si>
  <si>
    <t>2020-05-31Тольятти</t>
  </si>
  <si>
    <t>2020-05-31Томск</t>
  </si>
  <si>
    <t>2020-05-31Тюмень</t>
  </si>
  <si>
    <t>2020-05-31Уфа</t>
  </si>
  <si>
    <t>2020-06-01Волгоград</t>
  </si>
  <si>
    <t>2020-06-01Екатеринбург</t>
  </si>
  <si>
    <t>2020-06-01Казань</t>
  </si>
  <si>
    <t>2020-06-01Кемерово</t>
  </si>
  <si>
    <t>2020-06-01Краснодар</t>
  </si>
  <si>
    <t>2020-06-01Москва Восток</t>
  </si>
  <si>
    <t>2020-06-01Москва Запад</t>
  </si>
  <si>
    <t>2020-06-01Нижний Новгород</t>
  </si>
  <si>
    <t>2020-06-01Новосибирск</t>
  </si>
  <si>
    <t>2020-06-01Пермь</t>
  </si>
  <si>
    <t>2020-06-01Ростов-на-Дону</t>
  </si>
  <si>
    <t>2020-06-01Самара</t>
  </si>
  <si>
    <t>2020-06-01Санкт-Петербург Север</t>
  </si>
  <si>
    <t>2020-06-01Санкт-Петербург Юг</t>
  </si>
  <si>
    <t>2020-06-01Тольятти</t>
  </si>
  <si>
    <t>2020-06-01Томск</t>
  </si>
  <si>
    <t>2020-06-01Тюмень</t>
  </si>
  <si>
    <t>2020-06-01Уфа</t>
  </si>
  <si>
    <t>Total Sum of Товарооборот на склад</t>
  </si>
  <si>
    <t>Sum of Товарооборот на склад</t>
  </si>
  <si>
    <t>Territory</t>
  </si>
  <si>
    <t>Доля в товароборот на склад</t>
  </si>
  <si>
    <t>Доля  Товарооборот, руб</t>
  </si>
  <si>
    <t>Details for Count of Товарооборот на склад</t>
  </si>
  <si>
    <t>Details for Sum of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</si>
</sst>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4" fontId="1" fillId="2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/>
    <xf numFmtId="14" fontId="2" fillId="0" borderId="4" xfId="0" applyNumberFormat="1" applyFont="1" applyBorder="1"/>
    <xf numFmtId="14" fontId="2" fillId="0" borderId="6" xfId="0" applyNumberFormat="1" applyFont="1" applyBorder="1"/>
    <xf numFmtId="14" fontId="1" fillId="2" borderId="3" xfId="0" applyNumberFormat="1" applyFont="1" applyFill="1" applyBorder="1" applyAlignment="1">
      <alignment vertical="center" wrapText="1"/>
    </xf>
    <xf numFmtId="14" fontId="2" fillId="0" borderId="0" xfId="0" applyNumberFormat="1" applyFont="1"/>
    <xf numFmtId="0" fontId="0" fillId="0" borderId="8" xfId="0" applyBorder="1"/>
    <xf numFmtId="0" fontId="0" fillId="0" borderId="8" xfId="0" applyBorder="1" applyAlignment="1">
      <alignment horizontal="left" indent="1"/>
    </xf>
    <xf numFmtId="0" fontId="0" fillId="5" borderId="8" xfId="0" applyFill="1" applyBorder="1" applyAlignment="1">
      <alignment horizontal="left" indent="1"/>
    </xf>
    <xf numFmtId="0" fontId="0" fillId="5" borderId="8" xfId="0" applyFill="1" applyBorder="1"/>
    <xf numFmtId="2" fontId="1" fillId="2" borderId="3" xfId="0" applyNumberFormat="1" applyFont="1" applyFill="1" applyBorder="1" applyAlignment="1">
      <alignment vertical="center" wrapText="1"/>
    </xf>
    <xf numFmtId="0" fontId="5" fillId="0" borderId="0" xfId="0" applyFont="1"/>
    <xf numFmtId="2" fontId="1" fillId="2" borderId="2" xfId="0" applyNumberFormat="1" applyFont="1" applyFill="1" applyBorder="1" applyAlignment="1">
      <alignment vertical="center" wrapText="1"/>
    </xf>
    <xf numFmtId="2" fontId="2" fillId="3" borderId="2" xfId="0" applyNumberFormat="1" applyFont="1" applyFill="1" applyBorder="1"/>
    <xf numFmtId="2" fontId="2" fillId="0" borderId="5" xfId="0" applyNumberFormat="1" applyFont="1" applyBorder="1"/>
    <xf numFmtId="2" fontId="2" fillId="0" borderId="7" xfId="0" applyNumberFormat="1" applyFont="1" applyBorder="1"/>
    <xf numFmtId="9" fontId="0" fillId="4" borderId="8" xfId="1" applyFont="1" applyFill="1" applyBorder="1"/>
    <xf numFmtId="9" fontId="0" fillId="5" borderId="8" xfId="1" applyFont="1" applyFill="1" applyBorder="1"/>
    <xf numFmtId="9" fontId="0" fillId="0" borderId="8" xfId="1" applyFont="1" applyBorder="1"/>
    <xf numFmtId="9" fontId="0" fillId="0" borderId="0" xfId="1" applyFont="1"/>
    <xf numFmtId="9" fontId="0" fillId="0" borderId="8" xfId="1" applyFont="1" applyFill="1" applyBorder="1"/>
  </cellXfs>
  <cellStyles count="2">
    <cellStyle name="Normal" xfId="0" builtinId="0"/>
    <cellStyle name="Percent" xfId="1" builtinId="5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.xlsx]Last_week!PivotTable3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Last_week!$B$3:$B$4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Last_week!$A$5:$A$44</c:f>
              <c:multiLvlStrCache>
                <c:ptCount val="36"/>
                <c:lvl>
                  <c:pt idx="0">
                    <c:v>Волгоград</c:v>
                  </c:pt>
                  <c:pt idx="1">
                    <c:v>Екатеринбург</c:v>
                  </c:pt>
                  <c:pt idx="2">
                    <c:v>Казань</c:v>
                  </c:pt>
                  <c:pt idx="3">
                    <c:v>Кемерово</c:v>
                  </c:pt>
                  <c:pt idx="4">
                    <c:v>Краснодар</c:v>
                  </c:pt>
                  <c:pt idx="5">
                    <c:v>Москва Восток</c:v>
                  </c:pt>
                  <c:pt idx="6">
                    <c:v>Москва Запад</c:v>
                  </c:pt>
                  <c:pt idx="7">
                    <c:v>Нижний Новгород</c:v>
                  </c:pt>
                  <c:pt idx="8">
                    <c:v>Новосибирск</c:v>
                  </c:pt>
                  <c:pt idx="9">
                    <c:v>Пермь</c:v>
                  </c:pt>
                  <c:pt idx="10">
                    <c:v>Ростов-на-Дону</c:v>
                  </c:pt>
                  <c:pt idx="11">
                    <c:v>Самара</c:v>
                  </c:pt>
                  <c:pt idx="12">
                    <c:v>Санкт-Петербург Север</c:v>
                  </c:pt>
                  <c:pt idx="13">
                    <c:v>Санкт-Петербург Юг</c:v>
                  </c:pt>
                  <c:pt idx="14">
                    <c:v>Тольятти</c:v>
                  </c:pt>
                  <c:pt idx="15">
                    <c:v>Томск</c:v>
                  </c:pt>
                  <c:pt idx="16">
                    <c:v>Тюмень</c:v>
                  </c:pt>
                  <c:pt idx="17">
                    <c:v>Уфа</c:v>
                  </c:pt>
                  <c:pt idx="18">
                    <c:v>Волгоград</c:v>
                  </c:pt>
                  <c:pt idx="19">
                    <c:v>Екатеринбург</c:v>
                  </c:pt>
                  <c:pt idx="20">
                    <c:v>Казань</c:v>
                  </c:pt>
                  <c:pt idx="21">
                    <c:v>Кемерово</c:v>
                  </c:pt>
                  <c:pt idx="22">
                    <c:v>Краснодар</c:v>
                  </c:pt>
                  <c:pt idx="23">
                    <c:v>Москва Восток</c:v>
                  </c:pt>
                  <c:pt idx="24">
                    <c:v>Москва Запад</c:v>
                  </c:pt>
                  <c:pt idx="25">
                    <c:v>Нижний Новгород</c:v>
                  </c:pt>
                  <c:pt idx="26">
                    <c:v>Новосибирск</c:v>
                  </c:pt>
                  <c:pt idx="27">
                    <c:v>Пермь</c:v>
                  </c:pt>
                  <c:pt idx="28">
                    <c:v>Ростов-на-Дону</c:v>
                  </c:pt>
                  <c:pt idx="29">
                    <c:v>Самара</c:v>
                  </c:pt>
                  <c:pt idx="30">
                    <c:v>Санкт-Петербург Север</c:v>
                  </c:pt>
                  <c:pt idx="31">
                    <c:v>Санкт-Петербург Юг</c:v>
                  </c:pt>
                  <c:pt idx="32">
                    <c:v>Тольятти</c:v>
                  </c:pt>
                  <c:pt idx="33">
                    <c:v>Томск</c:v>
                  </c:pt>
                  <c:pt idx="34">
                    <c:v>Тюмень</c:v>
                  </c:pt>
                  <c:pt idx="35">
                    <c:v>Уфа</c:v>
                  </c:pt>
                </c:lvl>
                <c:lvl>
                  <c:pt idx="0">
                    <c:v>Sum of Товарооборот, руб</c:v>
                  </c:pt>
                  <c:pt idx="18">
                    <c:v>Sum of Товарооборот на склад</c:v>
                  </c:pt>
                </c:lvl>
              </c:multiLvlStrCache>
            </c:multiLvlStrRef>
          </c:cat>
          <c:val>
            <c:numRef>
              <c:f>Last_week!$B$5:$B$44</c:f>
              <c:numCache>
                <c:formatCode>General</c:formatCode>
                <c:ptCount val="36"/>
                <c:pt idx="0">
                  <c:v>5800290</c:v>
                </c:pt>
                <c:pt idx="1">
                  <c:v>6829921.5</c:v>
                </c:pt>
                <c:pt idx="2">
                  <c:v>3865251</c:v>
                </c:pt>
                <c:pt idx="3">
                  <c:v>2945035.5</c:v>
                </c:pt>
                <c:pt idx="4">
                  <c:v>2538967.5</c:v>
                </c:pt>
                <c:pt idx="5">
                  <c:v>18914194.5</c:v>
                </c:pt>
                <c:pt idx="6">
                  <c:v>19465372.5</c:v>
                </c:pt>
                <c:pt idx="7">
                  <c:v>3013512</c:v>
                </c:pt>
                <c:pt idx="8">
                  <c:v>1293219</c:v>
                </c:pt>
                <c:pt idx="9">
                  <c:v>1526608.5</c:v>
                </c:pt>
                <c:pt idx="10">
                  <c:v>1565632.5</c:v>
                </c:pt>
                <c:pt idx="11">
                  <c:v>636345</c:v>
                </c:pt>
                <c:pt idx="12">
                  <c:v>37257840.18135</c:v>
                </c:pt>
                <c:pt idx="13">
                  <c:v>27770092.5</c:v>
                </c:pt>
                <c:pt idx="14">
                  <c:v>1007742</c:v>
                </c:pt>
                <c:pt idx="15">
                  <c:v>389013</c:v>
                </c:pt>
                <c:pt idx="16">
                  <c:v>802447.5</c:v>
                </c:pt>
                <c:pt idx="17">
                  <c:v>410892</c:v>
                </c:pt>
                <c:pt idx="18">
                  <c:v>156764.59459459459</c:v>
                </c:pt>
                <c:pt idx="19">
                  <c:v>220320.04838709679</c:v>
                </c:pt>
                <c:pt idx="20">
                  <c:v>168054.39130434784</c:v>
                </c:pt>
                <c:pt idx="21">
                  <c:v>140239.78571428571</c:v>
                </c:pt>
                <c:pt idx="22">
                  <c:v>120903.21428571429</c:v>
                </c:pt>
                <c:pt idx="23">
                  <c:v>350262.86111111112</c:v>
                </c:pt>
                <c:pt idx="24">
                  <c:v>329921.56779661018</c:v>
                </c:pt>
                <c:pt idx="25">
                  <c:v>150675.6</c:v>
                </c:pt>
                <c:pt idx="26">
                  <c:v>0</c:v>
                </c:pt>
                <c:pt idx="27">
                  <c:v>89800.5</c:v>
                </c:pt>
                <c:pt idx="28">
                  <c:v>97852.03125</c:v>
                </c:pt>
                <c:pt idx="29">
                  <c:v>42423</c:v>
                </c:pt>
                <c:pt idx="30">
                  <c:v>302909.26976707316</c:v>
                </c:pt>
                <c:pt idx="31">
                  <c:v>216953.84765625</c:v>
                </c:pt>
                <c:pt idx="32">
                  <c:v>100774.2</c:v>
                </c:pt>
                <c:pt idx="33">
                  <c:v>43223.666666666664</c:v>
                </c:pt>
                <c:pt idx="34">
                  <c:v>114635.35714285714</c:v>
                </c:pt>
                <c:pt idx="35">
                  <c:v>68482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9-4262-931F-F9457BB3C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422976"/>
        <c:axId val="865409056"/>
      </c:lineChart>
      <c:catAx>
        <c:axId val="8654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09056"/>
        <c:crosses val="autoZero"/>
        <c:auto val="1"/>
        <c:lblAlgn val="ctr"/>
        <c:lblOffset val="100"/>
        <c:noMultiLvlLbl val="0"/>
      </c:catAx>
      <c:valAx>
        <c:axId val="8654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2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.xlsx]Last_week!PivotTable3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Last_week!$B$3:$B$4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Last_week!$A$5:$A$44</c:f>
              <c:multiLvlStrCache>
                <c:ptCount val="36"/>
                <c:lvl>
                  <c:pt idx="0">
                    <c:v>Волгоград</c:v>
                  </c:pt>
                  <c:pt idx="1">
                    <c:v>Екатеринбург</c:v>
                  </c:pt>
                  <c:pt idx="2">
                    <c:v>Казань</c:v>
                  </c:pt>
                  <c:pt idx="3">
                    <c:v>Кемерово</c:v>
                  </c:pt>
                  <c:pt idx="4">
                    <c:v>Краснодар</c:v>
                  </c:pt>
                  <c:pt idx="5">
                    <c:v>Москва Восток</c:v>
                  </c:pt>
                  <c:pt idx="6">
                    <c:v>Москва Запад</c:v>
                  </c:pt>
                  <c:pt idx="7">
                    <c:v>Нижний Новгород</c:v>
                  </c:pt>
                  <c:pt idx="8">
                    <c:v>Новосибирск</c:v>
                  </c:pt>
                  <c:pt idx="9">
                    <c:v>Пермь</c:v>
                  </c:pt>
                  <c:pt idx="10">
                    <c:v>Ростов-на-Дону</c:v>
                  </c:pt>
                  <c:pt idx="11">
                    <c:v>Самара</c:v>
                  </c:pt>
                  <c:pt idx="12">
                    <c:v>Санкт-Петербург Север</c:v>
                  </c:pt>
                  <c:pt idx="13">
                    <c:v>Санкт-Петербург Юг</c:v>
                  </c:pt>
                  <c:pt idx="14">
                    <c:v>Тольятти</c:v>
                  </c:pt>
                  <c:pt idx="15">
                    <c:v>Томск</c:v>
                  </c:pt>
                  <c:pt idx="16">
                    <c:v>Тюмень</c:v>
                  </c:pt>
                  <c:pt idx="17">
                    <c:v>Уфа</c:v>
                  </c:pt>
                  <c:pt idx="18">
                    <c:v>Волгоград</c:v>
                  </c:pt>
                  <c:pt idx="19">
                    <c:v>Екатеринбург</c:v>
                  </c:pt>
                  <c:pt idx="20">
                    <c:v>Казань</c:v>
                  </c:pt>
                  <c:pt idx="21">
                    <c:v>Кемерово</c:v>
                  </c:pt>
                  <c:pt idx="22">
                    <c:v>Краснодар</c:v>
                  </c:pt>
                  <c:pt idx="23">
                    <c:v>Москва Восток</c:v>
                  </c:pt>
                  <c:pt idx="24">
                    <c:v>Москва Запад</c:v>
                  </c:pt>
                  <c:pt idx="25">
                    <c:v>Нижний Новгород</c:v>
                  </c:pt>
                  <c:pt idx="26">
                    <c:v>Новосибирск</c:v>
                  </c:pt>
                  <c:pt idx="27">
                    <c:v>Пермь</c:v>
                  </c:pt>
                  <c:pt idx="28">
                    <c:v>Ростов-на-Дону</c:v>
                  </c:pt>
                  <c:pt idx="29">
                    <c:v>Самара</c:v>
                  </c:pt>
                  <c:pt idx="30">
                    <c:v>Санкт-Петербург Север</c:v>
                  </c:pt>
                  <c:pt idx="31">
                    <c:v>Санкт-Петербург Юг</c:v>
                  </c:pt>
                  <c:pt idx="32">
                    <c:v>Тольятти</c:v>
                  </c:pt>
                  <c:pt idx="33">
                    <c:v>Томск</c:v>
                  </c:pt>
                  <c:pt idx="34">
                    <c:v>Тюмень</c:v>
                  </c:pt>
                  <c:pt idx="35">
                    <c:v>Уфа</c:v>
                  </c:pt>
                </c:lvl>
                <c:lvl>
                  <c:pt idx="0">
                    <c:v>Sum of Товарооборот, руб</c:v>
                  </c:pt>
                  <c:pt idx="18">
                    <c:v>Sum of Товарооборот на склад</c:v>
                  </c:pt>
                </c:lvl>
              </c:multiLvlStrCache>
            </c:multiLvlStrRef>
          </c:cat>
          <c:val>
            <c:numRef>
              <c:f>Last_week!$B$5:$B$44</c:f>
              <c:numCache>
                <c:formatCode>General</c:formatCode>
                <c:ptCount val="36"/>
                <c:pt idx="0">
                  <c:v>5800290</c:v>
                </c:pt>
                <c:pt idx="1">
                  <c:v>6829921.5</c:v>
                </c:pt>
                <c:pt idx="2">
                  <c:v>3865251</c:v>
                </c:pt>
                <c:pt idx="3">
                  <c:v>2945035.5</c:v>
                </c:pt>
                <c:pt idx="4">
                  <c:v>2538967.5</c:v>
                </c:pt>
                <c:pt idx="5">
                  <c:v>18914194.5</c:v>
                </c:pt>
                <c:pt idx="6">
                  <c:v>19465372.5</c:v>
                </c:pt>
                <c:pt idx="7">
                  <c:v>3013512</c:v>
                </c:pt>
                <c:pt idx="8">
                  <c:v>1293219</c:v>
                </c:pt>
                <c:pt idx="9">
                  <c:v>1526608.5</c:v>
                </c:pt>
                <c:pt idx="10">
                  <c:v>1565632.5</c:v>
                </c:pt>
                <c:pt idx="11">
                  <c:v>636345</c:v>
                </c:pt>
                <c:pt idx="12">
                  <c:v>37257840.18135</c:v>
                </c:pt>
                <c:pt idx="13">
                  <c:v>27770092.5</c:v>
                </c:pt>
                <c:pt idx="14">
                  <c:v>1007742</c:v>
                </c:pt>
                <c:pt idx="15">
                  <c:v>389013</c:v>
                </c:pt>
                <c:pt idx="16">
                  <c:v>802447.5</c:v>
                </c:pt>
                <c:pt idx="17">
                  <c:v>410892</c:v>
                </c:pt>
                <c:pt idx="18">
                  <c:v>156764.59459459459</c:v>
                </c:pt>
                <c:pt idx="19">
                  <c:v>220320.04838709679</c:v>
                </c:pt>
                <c:pt idx="20">
                  <c:v>168054.39130434784</c:v>
                </c:pt>
                <c:pt idx="21">
                  <c:v>140239.78571428571</c:v>
                </c:pt>
                <c:pt idx="22">
                  <c:v>120903.21428571429</c:v>
                </c:pt>
                <c:pt idx="23">
                  <c:v>350262.86111111112</c:v>
                </c:pt>
                <c:pt idx="24">
                  <c:v>329921.56779661018</c:v>
                </c:pt>
                <c:pt idx="25">
                  <c:v>150675.6</c:v>
                </c:pt>
                <c:pt idx="26">
                  <c:v>0</c:v>
                </c:pt>
                <c:pt idx="27">
                  <c:v>89800.5</c:v>
                </c:pt>
                <c:pt idx="28">
                  <c:v>97852.03125</c:v>
                </c:pt>
                <c:pt idx="29">
                  <c:v>42423</c:v>
                </c:pt>
                <c:pt idx="30">
                  <c:v>302909.26976707316</c:v>
                </c:pt>
                <c:pt idx="31">
                  <c:v>216953.84765625</c:v>
                </c:pt>
                <c:pt idx="32">
                  <c:v>100774.2</c:v>
                </c:pt>
                <c:pt idx="33">
                  <c:v>43223.666666666664</c:v>
                </c:pt>
                <c:pt idx="34">
                  <c:v>114635.35714285714</c:v>
                </c:pt>
                <c:pt idx="35">
                  <c:v>68482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5-4498-9BF7-3225A83C9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422976"/>
        <c:axId val="865409056"/>
      </c:lineChart>
      <c:catAx>
        <c:axId val="8654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09056"/>
        <c:crosses val="autoZero"/>
        <c:auto val="1"/>
        <c:lblAlgn val="ctr"/>
        <c:lblOffset val="100"/>
        <c:noMultiLvlLbl val="0"/>
      </c:catAx>
      <c:valAx>
        <c:axId val="8654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2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364901</xdr:colOff>
      <xdr:row>20</xdr:row>
      <xdr:rowOff>21464</xdr:rowOff>
    </xdr:from>
    <xdr:to>
      <xdr:col>4</xdr:col>
      <xdr:colOff>1438140</xdr:colOff>
      <xdr:row>36</xdr:row>
      <xdr:rowOff>177742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256EC-4AF4-4390-8315-A7DD0542F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1023798</xdr:colOff>
      <xdr:row>2</xdr:row>
      <xdr:rowOff>93580</xdr:rowOff>
    </xdr:from>
    <xdr:to>
      <xdr:col>14</xdr:col>
      <xdr:colOff>53473</xdr:colOff>
      <xdr:row>42</xdr:row>
      <xdr:rowOff>40105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071B0-2109-563D-0C67-32688FB98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Paulson" refreshedDate="46060.450346412035" createdVersion="8" refreshedVersion="8" minRefreshableVersion="3" recordCount="1000" xr:uid="{677F763B-F37A-4F3E-8971-0D5F1EB5C923}">
  <cacheSource type="worksheet">
    <worksheetSource ref="A1:I1048576" sheet="Sheet1"/>
  </cacheSource>
  <cacheFields count="9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Количество складов" numFmtId="0">
      <sharedItems containsNonDate="0" containsString="0" containsBlank="1"/>
    </cacheField>
    <cacheField name="Количество заказов" numFmtId="0">
      <sharedItems containsNonDate="0" containsString="0" containsBlank="1"/>
    </cacheField>
    <cacheField name="Количество клиентов" numFmtId="0">
      <sharedItems containsNonDate="0" containsString="0" containsBlank="1"/>
    </cacheField>
    <cacheField name="Товарооборот на склад" numFmtId="0">
      <sharedItems containsNonDate="0" containsString="0" containsBlank="1" count="1">
        <m/>
      </sharedItems>
    </cacheField>
    <cacheField name="Неделя" numFmtId="0">
      <sharedItems containsString="0" containsBlank="1" containsNumber="1" containsInteger="1" minValue="18" maxValue="23" count="7">
        <n v="22"/>
        <n v="20"/>
        <n v="21"/>
        <n v="19"/>
        <n v="18"/>
        <n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Paulson" refreshedDate="46060.539681018519" backgroundQuery="1" createdVersion="8" refreshedVersion="8" minRefreshableVersion="3" recordCount="0" supportSubquery="1" supportAdvancedDrill="1" xr:uid="{194153F4-47EE-4254-870C-0999567273E3}">
  <cacheSource type="external" connectionId="1"/>
  <cacheFields count="4">
    <cacheField name="[Measures].[Sum of Товарооборот, руб]" caption="Sum of Товарооборот, руб" numFmtId="0" hierarchy="11" level="32767"/>
    <cacheField name="[Measures].[Count of Товарооборот на склад]" caption="Count of Товарооборот на склад" numFmtId="0" hierarchy="12" level="32767"/>
    <cacheField name="[Range].[Неделя].[Неделя]" caption="Неделя" numFmtId="0" hierarchy="8" level="1">
      <sharedItems containsSemiMixedTypes="0" containsString="0" containsNumber="1" containsInteger="1" minValue="23" maxValue="23" count="1"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].[Неделя].&amp;[23]"/>
          </x15:cachedUniqueNames>
        </ext>
      </extLst>
    </cacheField>
    <cacheField name="[Range].[Территория].[Территория]" caption="Территория" numFmtId="0" hierarchy="1" level="1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</cacheFields>
  <cacheHierarchies count="13">
    <cacheHierarchy uniqueName="[Range].[Дата]" caption="Дата" attribute="1" time="1" defaultMemberUniqueName="[Range].[Дата].[All]" allUniqueName="[Range].[Дата].[All]" dimensionUniqueName="[Range]" displayFolder="" count="0" memberValueDatatype="7" unbalanced="0"/>
    <cacheHierarchy uniqueName="[Range].[Территория]" caption="Территория" attribute="1" defaultMemberUniqueName="[Range].[Территория].[All]" allUniqueName="[Range].[Территория].[All]" dimensionUniqueName="[Range]" displayFolder="" count="2" memberValueDatatype="130" unbalanced="0">
      <fieldsUsage count="2">
        <fieldUsage x="-1"/>
        <fieldUsage x="3"/>
      </fieldsUsage>
    </cacheHierarchy>
    <cacheHierarchy uniqueName="[Range].[Товарооборот, шт]" caption="Товарооборот, шт" attribute="1" defaultMemberUniqueName="[Range].[Товарооборот, шт].[All]" allUniqueName="[Range].[Товарооборот, шт].[All]" dimensionUniqueName="[Range]" displayFolder="" count="0" memberValueDatatype="5" unbalanced="0"/>
    <cacheHierarchy uniqueName="[Range].[Товарооборот, руб]" caption="Товарооборот, руб" attribute="1" defaultMemberUniqueName="[Range].[Товарооборот, руб].[All]" allUniqueName="[Range].[Товарооборот, руб].[All]" dimensionUniqueName="[Range]" displayFolder="" count="0" memberValueDatatype="5" unbalanced="0"/>
    <cacheHierarchy uniqueName="[Range].[Количество складов]" caption="Количество складов" attribute="1" defaultMemberUniqueName="[Range].[Количество складов].[All]" allUniqueName="[Range].[Количество складов].[All]" dimensionUniqueName="[Range]" displayFolder="" count="0" memberValueDatatype="130" unbalanced="0"/>
    <cacheHierarchy uniqueName="[Range].[Количество заказов]" caption="Количество заказов" attribute="1" defaultMemberUniqueName="[Range].[Количество заказов].[All]" allUniqueName="[Range].[Количество заказов].[All]" dimensionUniqueName="[Range]" displayFolder="" count="0" memberValueDatatype="130" unbalanced="0"/>
    <cacheHierarchy uniqueName="[Range].[Количество клиентов]" caption="Количество клиентов" attribute="1" defaultMemberUniqueName="[Range].[Количество клиентов].[All]" allUniqueName="[Range].[Количество клиентов].[All]" dimensionUniqueName="[Range]" displayFolder="" count="0" memberValueDatatype="130" unbalanced="0"/>
    <cacheHierarchy uniqueName="[Range].[Товарооборот на склад]" caption="Товарооборот на склад" attribute="1" defaultMemberUniqueName="[Range].[Товарооборот на склад].[All]" allUniqueName="[Range].[Товарооборот на склад].[All]" dimensionUniqueName="[Range]" displayFolder="" count="0" memberValueDatatype="130" unbalanced="0"/>
    <cacheHierarchy uniqueName="[Range].[Неделя]" caption="Неделя" attribute="1" defaultMemberUniqueName="[Range].[Неделя].[All]" allUniqueName="[Range].[Неделя].[All]" dimensionUniqueName="[Range]" displayFolder="" count="2" memberValueDatatype="2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Товарооборот, руб]" caption="Sum of Товарооборот, руб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Товарооборот на склад]" caption="Count of Товарооборот на склад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Paulson" refreshedDate="46060.550400694447" createdVersion="8" refreshedVersion="8" minRefreshableVersion="3" recordCount="504" xr:uid="{16ADDD20-5B2A-4AF3-9BD4-6079D4F0D040}">
  <cacheSource type="worksheet">
    <worksheetSource ref="A1:I505" sheet="Sheet1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Blank="1" containsMixedTypes="1" containsNumber="1" containsInteger="1" minValue="6" maxValue="129"/>
    </cacheField>
    <cacheField name="Количество заказов" numFmtId="0">
      <sharedItems containsBlank="1" containsMixedTypes="1" containsNumber="1" containsInteger="1" minValue="237" maxValue="25828"/>
    </cacheField>
    <cacheField name="Количество клиентов" numFmtId="0">
      <sharedItems containsBlank="1" containsMixedTypes="1" containsNumber="1" containsInteger="1" minValue="175" maxValue="23974"/>
    </cacheField>
    <cacheField name="Товарооборот на склад" numFmtId="2">
      <sharedItems containsMixedTypes="1" containsNumber="1" minValue="0" maxValue="496419" count="249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e v="#N/A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179167.5"/>
        <n v="215369.66129032258"/>
        <n v="286871.75806451612"/>
        <n v="206398.74193548388"/>
        <n v="213995.0806451613"/>
        <n v="233792.75806451612"/>
        <n v="223268.27419354839"/>
        <n v="225611.37096774194"/>
        <n v="226247.4193548387"/>
        <n v="198988.93548387097"/>
        <n v="260940.09677419355"/>
        <n v="214374.29032258064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61788.15"/>
        <n v="98310.9"/>
        <n v="73296.45"/>
        <n v="93552.3"/>
        <n v="103724.7"/>
        <n v="79332"/>
        <n v="86571.45"/>
        <n v="242343.43548387097"/>
        <n v="63788.1"/>
        <n v="295635.72580645164"/>
        <n v="69683.25"/>
        <n v="124138.35"/>
        <n v="214244.17741935485"/>
        <n v="103044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45370.54999999999"/>
        <n v="124759.57894736843"/>
        <n v="150167.44736842104"/>
        <n v="141696.31578947368"/>
        <n v="109468.42105263157"/>
        <n v="124912.5"/>
        <n v="117501"/>
        <n v="169268.625"/>
        <n v="143286.375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16066.80541744188"/>
        <n v="225135.81395348837"/>
        <n v="215913.95348837209"/>
        <n v="227664.8962593023"/>
        <n v="205174.05813953487"/>
        <n v="272123.46288023255"/>
        <n v="210588.47674418605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9402.90725806454"/>
        <n v="316628.61599999998"/>
        <n v="303217.25255999999"/>
        <n v="317114.47200000001"/>
        <n v="297576.924"/>
        <n v="227347.02325581395"/>
        <n v="276934.0581395349"/>
        <n v="371264.64"/>
        <n v="218224.84302325582"/>
        <n v="297447"/>
        <n v="312087"/>
        <n v="305531.05200000003"/>
        <n v="184782.75"/>
        <n v="171485.08333333334"/>
        <n v="165355.625"/>
        <n v="162916.375"/>
        <n v="153420.70833333334"/>
        <n v="162891.25"/>
        <n v="197831.83333333334"/>
        <n v="175939.66666666666"/>
        <n v="317582.08064516127"/>
        <n v="373958.90322580643"/>
        <n v="199253.25"/>
        <n v="306029.74596774194"/>
        <n v="158462.5"/>
        <n v="169395.45833333334"/>
        <n v="191673.71428571429"/>
        <n v="169187.5"/>
        <n v="151959.78571428571"/>
        <n v="176205.28571428571"/>
        <n v="181447.35714285713"/>
        <n v="186618.42857142858"/>
        <n v="156574.71428571429"/>
        <n v="175698.60810810811"/>
        <n v="245902.33783783784"/>
        <n v="184915"/>
        <n v="164917.05405405405"/>
        <n v="169602.64285714287"/>
        <n v="164252.5"/>
        <n v="173658.84782608695"/>
        <n v="202565.52272727274"/>
        <n v="176985.47727272726"/>
        <n v="106761.7"/>
        <n v="85302.9375"/>
        <n v="91838.5"/>
        <n v="87596.029411764699"/>
        <n v="81220.676470588238"/>
        <n v="89390.90625"/>
        <n v="109058.91176470589"/>
        <n v="88698.088235294112"/>
        <n v="91064.647058823524"/>
        <n v="81002.2"/>
        <n v="93536.5"/>
        <n v="70699.3"/>
        <n v="76803.600000000006"/>
        <n v="73574.899999999994"/>
        <n v="73657.2"/>
        <n v="93654.088235294112"/>
        <n v="144544.23529411765"/>
        <n v="87671.7"/>
        <n v="87525.176470588238"/>
        <n v="82045.8"/>
        <n v="78991"/>
        <n v="128764.73684210527"/>
        <n v="120540.15"/>
        <n v="115733.44736842105"/>
        <n v="132671.52631578947"/>
        <n v="83549.34375"/>
        <n v="100568.15625"/>
        <n v="162586.34210526315"/>
        <n v="77484.1875"/>
        <n v="125640.15"/>
        <n v="132995.21052631579"/>
        <n v="133063.07142857142"/>
        <n v="150266.70000000001"/>
        <n v="127960.575"/>
        <n v="426498.83898305084"/>
        <n v="370888.25"/>
        <n v="365988.1"/>
        <n v="476515.17499999999"/>
        <n v="348860.05932203389"/>
        <n v="332663.34999999998"/>
        <n v="441784.16666666669"/>
        <n v="365852.82203389832"/>
        <n v="415716.0254237288"/>
        <n v="496419"/>
        <n v="342262.22499999998"/>
        <n v="366794.94444444444"/>
        <n v="353168.83333333331"/>
        <n v="383652.75"/>
        <n v="447258.88888888888"/>
        <n v="362019.19444444444"/>
        <n v="119116.5"/>
        <n v="73705.833333333328"/>
        <n v="67247.583333333328"/>
        <n v="42423"/>
        <n v="54877"/>
        <n v="132667.92857142858"/>
        <n v="43415.8"/>
        <n v="99238.5"/>
        <n v="150787.57500000001"/>
        <n v="78139.25"/>
        <n v="98508.583333333328"/>
        <n v="77080.166666666672"/>
        <n v="140239.78571428571"/>
        <n v="123717.64285714286"/>
        <n v="159658.35"/>
        <n v="216163.98387096773"/>
        <n v="220320.04838709679"/>
        <n v="79078.333333333328"/>
        <n v="105479.85"/>
        <n v="100774.2"/>
        <n v="238294.06451612903"/>
        <n v="127346.4"/>
        <n v="146206.65"/>
        <n v="150675.6"/>
        <n v="162902.70000000001"/>
        <n v="216953.84765625"/>
        <n v="302909.26976707316"/>
        <n v="323776.27988372097"/>
        <n v="156764.59459459459"/>
        <n v="436871.20161290321"/>
        <n v="168054.39130434784"/>
        <n v="89800.5"/>
        <n v="97852.03125"/>
        <n v="120903.21428571429"/>
        <n v="329921.56779661018"/>
        <n v="350262.86111111112"/>
        <n v="43223.666666666664"/>
        <n v="68482"/>
        <n v="114635.35714285714"/>
        <n v="0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0-05-31T00:00:00"/>
    <x v="0"/>
    <n v="7944"/>
    <n v="623971.5"/>
    <m/>
    <m/>
    <m/>
    <x v="0"/>
    <x v="0"/>
  </r>
  <r>
    <d v="2020-05-30T00:00:00"/>
    <x v="0"/>
    <n v="10029"/>
    <n v="787101"/>
    <m/>
    <m/>
    <m/>
    <x v="0"/>
    <x v="0"/>
  </r>
  <r>
    <d v="2020-05-28T00:00:00"/>
    <x v="0"/>
    <n v="8536.5"/>
    <n v="643944"/>
    <m/>
    <m/>
    <m/>
    <x v="0"/>
    <x v="0"/>
  </r>
  <r>
    <d v="2020-05-16T00:00:00"/>
    <x v="1"/>
    <n v="38947.5"/>
    <n v="3395892"/>
    <m/>
    <m/>
    <m/>
    <x v="0"/>
    <x v="1"/>
  </r>
  <r>
    <d v="2020-05-19T00:00:00"/>
    <x v="1"/>
    <n v="31842"/>
    <n v="2771116.5"/>
    <m/>
    <m/>
    <m/>
    <x v="0"/>
    <x v="2"/>
  </r>
  <r>
    <d v="2020-05-17T00:00:00"/>
    <x v="1"/>
    <n v="32023.5"/>
    <n v="2882458.5"/>
    <m/>
    <m/>
    <m/>
    <x v="0"/>
    <x v="1"/>
  </r>
  <r>
    <d v="2020-05-09T00:00:00"/>
    <x v="1"/>
    <n v="31147.5"/>
    <n v="2831019"/>
    <m/>
    <m/>
    <m/>
    <x v="0"/>
    <x v="3"/>
  </r>
  <r>
    <d v="2020-05-04T00:00:00"/>
    <x v="1"/>
    <n v="25566"/>
    <n v="2372310"/>
    <m/>
    <m/>
    <m/>
    <x v="0"/>
    <x v="3"/>
  </r>
  <r>
    <d v="2020-04-29T00:00:00"/>
    <x v="1"/>
    <n v="29319"/>
    <n v="2623480.5"/>
    <m/>
    <m/>
    <m/>
    <x v="0"/>
    <x v="4"/>
  </r>
  <r>
    <d v="2020-05-02T00:00:00"/>
    <x v="1"/>
    <n v="29031"/>
    <n v="2711247"/>
    <m/>
    <m/>
    <m/>
    <x v="0"/>
    <x v="4"/>
  </r>
  <r>
    <d v="2020-05-26T00:00:00"/>
    <x v="1"/>
    <n v="33423"/>
    <n v="2970330"/>
    <m/>
    <m/>
    <m/>
    <x v="0"/>
    <x v="0"/>
  </r>
  <r>
    <d v="2020-05-01T00:00:00"/>
    <x v="1"/>
    <n v="32487"/>
    <n v="3031254"/>
    <m/>
    <m/>
    <m/>
    <x v="0"/>
    <x v="4"/>
  </r>
  <r>
    <d v="2020-05-12T00:00:00"/>
    <x v="1"/>
    <n v="28219.5"/>
    <n v="2595778.5"/>
    <m/>
    <m/>
    <m/>
    <x v="0"/>
    <x v="1"/>
  </r>
  <r>
    <d v="2020-05-21T00:00:00"/>
    <x v="1"/>
    <n v="31272"/>
    <n v="2744382"/>
    <m/>
    <m/>
    <m/>
    <x v="0"/>
    <x v="2"/>
  </r>
  <r>
    <d v="2020-05-20T00:00:00"/>
    <x v="1"/>
    <n v="34077"/>
    <n v="2929330.5"/>
    <m/>
    <m/>
    <m/>
    <x v="0"/>
    <x v="2"/>
  </r>
  <r>
    <d v="2020-05-05T00:00:00"/>
    <x v="1"/>
    <n v="31566"/>
    <n v="2906763"/>
    <m/>
    <m/>
    <m/>
    <x v="0"/>
    <x v="3"/>
  </r>
  <r>
    <d v="2020-04-28T00:00:00"/>
    <x v="1"/>
    <n v="26940"/>
    <n v="2411587.5"/>
    <m/>
    <m/>
    <m/>
    <x v="0"/>
    <x v="4"/>
  </r>
  <r>
    <d v="2020-05-13T00:00:00"/>
    <x v="1"/>
    <n v="29241"/>
    <n v="2629782"/>
    <m/>
    <m/>
    <m/>
    <x v="0"/>
    <x v="1"/>
  </r>
  <r>
    <d v="2020-05-03T00:00:00"/>
    <x v="1"/>
    <n v="26082"/>
    <n v="2434914"/>
    <m/>
    <m/>
    <m/>
    <x v="0"/>
    <x v="4"/>
  </r>
  <r>
    <d v="2020-05-06T00:00:00"/>
    <x v="1"/>
    <n v="32511"/>
    <n v="2938623"/>
    <m/>
    <m/>
    <m/>
    <x v="0"/>
    <x v="3"/>
  </r>
  <r>
    <d v="2020-05-23T00:00:00"/>
    <x v="1"/>
    <n v="42703.5"/>
    <n v="3628726.5"/>
    <m/>
    <m/>
    <m/>
    <x v="0"/>
    <x v="2"/>
  </r>
  <r>
    <d v="2020-05-25T00:00:00"/>
    <x v="1"/>
    <n v="35592"/>
    <n v="3176580"/>
    <m/>
    <m/>
    <m/>
    <x v="0"/>
    <x v="0"/>
  </r>
  <r>
    <d v="2020-04-30T00:00:00"/>
    <x v="1"/>
    <n v="30445.5"/>
    <n v="2817196.5"/>
    <m/>
    <m/>
    <m/>
    <x v="0"/>
    <x v="4"/>
  </r>
  <r>
    <d v="2020-05-10T00:00:00"/>
    <x v="1"/>
    <n v="36619.5"/>
    <n v="3312967.5"/>
    <m/>
    <m/>
    <m/>
    <x v="0"/>
    <x v="3"/>
  </r>
  <r>
    <d v="2020-05-08T00:00:00"/>
    <x v="1"/>
    <n v="29409"/>
    <n v="2645160"/>
    <m/>
    <m/>
    <m/>
    <x v="0"/>
    <x v="3"/>
  </r>
  <r>
    <d v="2020-05-07T00:00:00"/>
    <x v="1"/>
    <n v="27018"/>
    <n v="2472213"/>
    <m/>
    <m/>
    <m/>
    <x v="0"/>
    <x v="3"/>
  </r>
  <r>
    <d v="2020-05-24T00:00:00"/>
    <x v="1"/>
    <n v="34303.5"/>
    <n v="2924746.5"/>
    <m/>
    <m/>
    <m/>
    <x v="0"/>
    <x v="2"/>
  </r>
  <r>
    <d v="2020-05-31T00:00:00"/>
    <x v="1"/>
    <n v="36999"/>
    <n v="3473895"/>
    <m/>
    <m/>
    <m/>
    <x v="0"/>
    <x v="0"/>
  </r>
  <r>
    <d v="2020-05-30T00:00:00"/>
    <x v="1"/>
    <n v="44001"/>
    <n v="3921784.5"/>
    <m/>
    <m/>
    <m/>
    <x v="0"/>
    <x v="0"/>
  </r>
  <r>
    <d v="2020-05-28T00:00:00"/>
    <x v="1"/>
    <n v="30982.5"/>
    <n v="2827773"/>
    <m/>
    <m/>
    <m/>
    <x v="0"/>
    <x v="0"/>
  </r>
  <r>
    <d v="2020-05-16T00:00:00"/>
    <x v="2"/>
    <n v="88063.5"/>
    <n v="7583758.5"/>
    <m/>
    <m/>
    <m/>
    <x v="0"/>
    <x v="1"/>
  </r>
  <r>
    <d v="2020-05-19T00:00:00"/>
    <x v="2"/>
    <n v="84024"/>
    <n v="6815511"/>
    <m/>
    <m/>
    <m/>
    <x v="0"/>
    <x v="2"/>
  </r>
  <r>
    <d v="2020-05-17T00:00:00"/>
    <x v="2"/>
    <n v="78057"/>
    <n v="6774946.5"/>
    <m/>
    <m/>
    <m/>
    <x v="0"/>
    <x v="1"/>
  </r>
  <r>
    <d v="2020-05-09T00:00:00"/>
    <x v="2"/>
    <n v="69720"/>
    <n v="6264933"/>
    <m/>
    <m/>
    <m/>
    <x v="0"/>
    <x v="3"/>
  </r>
  <r>
    <d v="2020-05-04T00:00:00"/>
    <x v="2"/>
    <n v="72928.5"/>
    <n v="6642249"/>
    <m/>
    <m/>
    <m/>
    <x v="0"/>
    <x v="3"/>
  </r>
  <r>
    <d v="2020-04-29T00:00:00"/>
    <x v="2"/>
    <n v="79527"/>
    <n v="7180498.5"/>
    <m/>
    <m/>
    <m/>
    <x v="0"/>
    <x v="4"/>
  </r>
  <r>
    <d v="2020-05-02T00:00:00"/>
    <x v="2"/>
    <n v="60463.5"/>
    <n v="5554192.5"/>
    <m/>
    <m/>
    <m/>
    <x v="0"/>
    <x v="4"/>
  </r>
  <r>
    <d v="2020-05-26T00:00:00"/>
    <x v="2"/>
    <n v="79975.5"/>
    <n v="6676459.5"/>
    <m/>
    <m/>
    <m/>
    <x v="0"/>
    <x v="0"/>
  </r>
  <r>
    <d v="2020-05-01T00:00:00"/>
    <x v="2"/>
    <n v="97534.5"/>
    <n v="8893024.5"/>
    <m/>
    <m/>
    <m/>
    <x v="0"/>
    <x v="4"/>
  </r>
  <r>
    <d v="2020-05-12T00:00:00"/>
    <x v="2"/>
    <n v="71520"/>
    <n v="6398361"/>
    <m/>
    <m/>
    <m/>
    <x v="0"/>
    <x v="1"/>
  </r>
  <r>
    <d v="2020-05-21T00:00:00"/>
    <x v="2"/>
    <n v="79485"/>
    <n v="6633847.5"/>
    <m/>
    <m/>
    <m/>
    <x v="0"/>
    <x v="2"/>
  </r>
  <r>
    <d v="2020-05-20T00:00:00"/>
    <x v="2"/>
    <n v="93313.5"/>
    <n v="7247575.5"/>
    <m/>
    <m/>
    <m/>
    <x v="0"/>
    <x v="2"/>
  </r>
  <r>
    <d v="2020-05-05T00:00:00"/>
    <x v="2"/>
    <n v="76585.5"/>
    <n v="6921316.5"/>
    <m/>
    <m/>
    <m/>
    <x v="0"/>
    <x v="3"/>
  </r>
  <r>
    <d v="2020-04-28T00:00:00"/>
    <x v="2"/>
    <n v="81826.5"/>
    <n v="7163644.5"/>
    <m/>
    <m/>
    <m/>
    <x v="0"/>
    <x v="4"/>
  </r>
  <r>
    <d v="2020-05-13T00:00:00"/>
    <x v="2"/>
    <n v="78846"/>
    <n v="6993952.5"/>
    <m/>
    <m/>
    <m/>
    <x v="0"/>
    <x v="1"/>
  </r>
  <r>
    <d v="2020-05-03T00:00:00"/>
    <x v="2"/>
    <n v="77263.5"/>
    <n v="7013670"/>
    <m/>
    <m/>
    <m/>
    <x v="0"/>
    <x v="4"/>
  </r>
  <r>
    <d v="2020-05-06T00:00:00"/>
    <x v="2"/>
    <n v="68994"/>
    <n v="6168657"/>
    <m/>
    <m/>
    <m/>
    <x v="0"/>
    <x v="3"/>
  </r>
  <r>
    <d v="2020-05-23T00:00:00"/>
    <x v="2"/>
    <n v="102889.5"/>
    <n v="8089143"/>
    <m/>
    <m/>
    <m/>
    <x v="0"/>
    <x v="2"/>
  </r>
  <r>
    <d v="2020-05-25T00:00:00"/>
    <x v="2"/>
    <n v="76999.5"/>
    <n v="6645603"/>
    <m/>
    <m/>
    <m/>
    <x v="0"/>
    <x v="0"/>
  </r>
  <r>
    <d v="2020-04-30T00:00:00"/>
    <x v="2"/>
    <n v="77565"/>
    <n v="7023727.5"/>
    <m/>
    <m/>
    <m/>
    <x v="0"/>
    <x v="4"/>
  </r>
  <r>
    <d v="2020-05-10T00:00:00"/>
    <x v="2"/>
    <n v="84132"/>
    <n v="7483194"/>
    <m/>
    <m/>
    <m/>
    <x v="0"/>
    <x v="3"/>
  </r>
  <r>
    <d v="2020-05-08T00:00:00"/>
    <x v="2"/>
    <n v="69544.5"/>
    <n v="6293776.5"/>
    <m/>
    <m/>
    <m/>
    <x v="0"/>
    <x v="3"/>
  </r>
  <r>
    <d v="2020-05-07T00:00:00"/>
    <x v="2"/>
    <n v="73204.5"/>
    <n v="6591883.5"/>
    <m/>
    <m/>
    <m/>
    <x v="0"/>
    <x v="3"/>
  </r>
  <r>
    <d v="2020-05-24T00:00:00"/>
    <x v="2"/>
    <n v="76663.5"/>
    <n v="6451032"/>
    <m/>
    <m/>
    <m/>
    <x v="0"/>
    <x v="2"/>
  </r>
  <r>
    <d v="2020-05-16T00:00:00"/>
    <x v="3"/>
    <n v="14265"/>
    <n v="1130506.5"/>
    <m/>
    <m/>
    <m/>
    <x v="0"/>
    <x v="1"/>
  </r>
  <r>
    <d v="2020-05-19T00:00:00"/>
    <x v="3"/>
    <n v="11526"/>
    <n v="938764.5"/>
    <m/>
    <m/>
    <m/>
    <x v="0"/>
    <x v="2"/>
  </r>
  <r>
    <d v="2020-05-17T00:00:00"/>
    <x v="3"/>
    <n v="10402.5"/>
    <n v="843727.5"/>
    <m/>
    <m/>
    <m/>
    <x v="0"/>
    <x v="1"/>
  </r>
  <r>
    <d v="2020-05-09T00:00:00"/>
    <x v="3"/>
    <n v="13216.5"/>
    <n v="1046400"/>
    <m/>
    <m/>
    <m/>
    <x v="0"/>
    <x v="3"/>
  </r>
  <r>
    <d v="2020-05-04T00:00:00"/>
    <x v="3"/>
    <n v="9130.5"/>
    <n v="728890.5"/>
    <m/>
    <m/>
    <m/>
    <x v="0"/>
    <x v="3"/>
  </r>
  <r>
    <d v="2020-04-29T00:00:00"/>
    <x v="3"/>
    <n v="10840.5"/>
    <n v="797919"/>
    <m/>
    <m/>
    <m/>
    <x v="0"/>
    <x v="4"/>
  </r>
  <r>
    <d v="2020-05-02T00:00:00"/>
    <x v="3"/>
    <n v="7866"/>
    <n v="617881.5"/>
    <m/>
    <m/>
    <m/>
    <x v="0"/>
    <x v="4"/>
  </r>
  <r>
    <d v="2020-05-26T00:00:00"/>
    <x v="3"/>
    <n v="11835"/>
    <n v="983109"/>
    <m/>
    <m/>
    <m/>
    <x v="0"/>
    <x v="0"/>
  </r>
  <r>
    <d v="2020-05-01T00:00:00"/>
    <x v="3"/>
    <n v="11619"/>
    <n v="891139.5"/>
    <m/>
    <m/>
    <m/>
    <x v="0"/>
    <x v="4"/>
  </r>
  <r>
    <d v="2020-05-12T00:00:00"/>
    <x v="3"/>
    <n v="9328.5"/>
    <n v="732964.5"/>
    <m/>
    <m/>
    <m/>
    <x v="0"/>
    <x v="1"/>
  </r>
  <r>
    <d v="2020-05-21T00:00:00"/>
    <x v="3"/>
    <n v="11250"/>
    <n v="935523"/>
    <m/>
    <m/>
    <m/>
    <x v="0"/>
    <x v="2"/>
  </r>
  <r>
    <d v="2020-05-20T00:00:00"/>
    <x v="3"/>
    <n v="13063.5"/>
    <n v="1037247"/>
    <m/>
    <m/>
    <m/>
    <x v="0"/>
    <x v="2"/>
  </r>
  <r>
    <d v="2020-05-05T00:00:00"/>
    <x v="3"/>
    <n v="10147.5"/>
    <n v="793320"/>
    <m/>
    <m/>
    <m/>
    <x v="0"/>
    <x v="3"/>
  </r>
  <r>
    <d v="2020-04-28T00:00:00"/>
    <x v="3"/>
    <n v="12331.5"/>
    <n v="869983.5"/>
    <m/>
    <m/>
    <m/>
    <x v="0"/>
    <x v="4"/>
  </r>
  <r>
    <d v="2020-05-13T00:00:00"/>
    <x v="3"/>
    <n v="11202"/>
    <n v="865714.5"/>
    <m/>
    <m/>
    <m/>
    <x v="0"/>
    <x v="1"/>
  </r>
  <r>
    <d v="2020-05-31T00:00:00"/>
    <x v="2"/>
    <n v="89149.5"/>
    <n v="7512646.5"/>
    <m/>
    <m/>
    <m/>
    <x v="0"/>
    <x v="0"/>
  </r>
  <r>
    <d v="2020-05-03T00:00:00"/>
    <x v="3"/>
    <n v="8185.5"/>
    <n v="637881"/>
    <m/>
    <m/>
    <m/>
    <x v="0"/>
    <x v="4"/>
  </r>
  <r>
    <d v="2020-05-30T00:00:00"/>
    <x v="2"/>
    <n v="108123"/>
    <n v="9164707.5"/>
    <m/>
    <m/>
    <m/>
    <x v="0"/>
    <x v="0"/>
  </r>
  <r>
    <d v="2020-05-06T00:00:00"/>
    <x v="3"/>
    <n v="9210"/>
    <n v="696832.5"/>
    <m/>
    <m/>
    <m/>
    <x v="0"/>
    <x v="3"/>
  </r>
  <r>
    <d v="2020-05-23T00:00:00"/>
    <x v="3"/>
    <n v="14773.5"/>
    <n v="1241383.5"/>
    <m/>
    <m/>
    <m/>
    <x v="0"/>
    <x v="2"/>
  </r>
  <r>
    <d v="2020-05-28T00:00:00"/>
    <x v="2"/>
    <n v="78141"/>
    <n v="6641569.5"/>
    <m/>
    <m/>
    <m/>
    <x v="0"/>
    <x v="0"/>
  </r>
  <r>
    <d v="2020-05-25T00:00:00"/>
    <x v="3"/>
    <n v="12280.5"/>
    <n v="1030440"/>
    <m/>
    <m/>
    <m/>
    <x v="0"/>
    <x v="0"/>
  </r>
  <r>
    <d v="2020-04-30T00:00:00"/>
    <x v="3"/>
    <n v="8934"/>
    <n v="716196"/>
    <m/>
    <m/>
    <m/>
    <x v="0"/>
    <x v="4"/>
  </r>
  <r>
    <d v="2020-05-10T00:00:00"/>
    <x v="3"/>
    <n v="12918"/>
    <n v="1004788.5"/>
    <m/>
    <m/>
    <m/>
    <x v="0"/>
    <x v="3"/>
  </r>
  <r>
    <d v="2020-05-08T00:00:00"/>
    <x v="3"/>
    <n v="12528"/>
    <n v="959703"/>
    <m/>
    <m/>
    <m/>
    <x v="0"/>
    <x v="3"/>
  </r>
  <r>
    <d v="2020-05-07T00:00:00"/>
    <x v="3"/>
    <n v="11029.5"/>
    <n v="863754"/>
    <m/>
    <m/>
    <m/>
    <x v="0"/>
    <x v="3"/>
  </r>
  <r>
    <d v="2020-05-24T00:00:00"/>
    <x v="3"/>
    <n v="9994.5"/>
    <n v="828984"/>
    <m/>
    <m/>
    <m/>
    <x v="0"/>
    <x v="2"/>
  </r>
  <r>
    <d v="2020-05-31T00:00:00"/>
    <x v="3"/>
    <n v="12724.5"/>
    <n v="1045515"/>
    <m/>
    <m/>
    <m/>
    <x v="0"/>
    <x v="0"/>
  </r>
  <r>
    <d v="2020-05-30T00:00:00"/>
    <x v="3"/>
    <n v="14728.5"/>
    <n v="1260483"/>
    <m/>
    <m/>
    <m/>
    <x v="0"/>
    <x v="0"/>
  </r>
  <r>
    <d v="2020-05-28T00:00:00"/>
    <x v="3"/>
    <n v="13038"/>
    <n v="1114552.5"/>
    <m/>
    <m/>
    <m/>
    <x v="0"/>
    <x v="0"/>
  </r>
  <r>
    <d v="2020-05-16T00:00:00"/>
    <x v="4"/>
    <n v="35482.5"/>
    <n v="3222517.5"/>
    <m/>
    <m/>
    <m/>
    <x v="0"/>
    <x v="1"/>
  </r>
  <r>
    <d v="2020-05-19T00:00:00"/>
    <x v="4"/>
    <n v="32434.5"/>
    <n v="2865337.5"/>
    <m/>
    <m/>
    <m/>
    <x v="0"/>
    <x v="2"/>
  </r>
  <r>
    <d v="2020-05-17T00:00:00"/>
    <x v="4"/>
    <n v="30486"/>
    <n v="2694289.5"/>
    <m/>
    <m/>
    <m/>
    <x v="0"/>
    <x v="1"/>
  </r>
  <r>
    <d v="2020-05-09T00:00:00"/>
    <x v="4"/>
    <n v="32079"/>
    <n v="2902167"/>
    <m/>
    <m/>
    <m/>
    <x v="0"/>
    <x v="3"/>
  </r>
  <r>
    <d v="2020-05-04T00:00:00"/>
    <x v="4"/>
    <n v="27072"/>
    <n v="2450968.5"/>
    <m/>
    <m/>
    <m/>
    <x v="0"/>
    <x v="3"/>
  </r>
  <r>
    <d v="2020-04-29T00:00:00"/>
    <x v="4"/>
    <n v="25917"/>
    <n v="2397588"/>
    <m/>
    <m/>
    <m/>
    <x v="0"/>
    <x v="4"/>
  </r>
  <r>
    <d v="2020-05-02T00:00:00"/>
    <x v="4"/>
    <n v="19461"/>
    <n v="1799230.5"/>
    <m/>
    <m/>
    <m/>
    <x v="0"/>
    <x v="4"/>
  </r>
  <r>
    <d v="2020-05-26T00:00:00"/>
    <x v="4"/>
    <n v="31407"/>
    <n v="2907411"/>
    <m/>
    <m/>
    <m/>
    <x v="0"/>
    <x v="0"/>
  </r>
  <r>
    <d v="2020-05-01T00:00:00"/>
    <x v="4"/>
    <n v="25792.5"/>
    <n v="2374356"/>
    <m/>
    <m/>
    <m/>
    <x v="0"/>
    <x v="4"/>
  </r>
  <r>
    <d v="2020-05-12T00:00:00"/>
    <x v="4"/>
    <n v="26032.5"/>
    <n v="2370432"/>
    <m/>
    <m/>
    <m/>
    <x v="0"/>
    <x v="1"/>
  </r>
  <r>
    <d v="2020-05-21T00:00:00"/>
    <x v="4"/>
    <n v="31707"/>
    <n v="2853181.5"/>
    <m/>
    <m/>
    <m/>
    <x v="0"/>
    <x v="2"/>
  </r>
  <r>
    <d v="2020-05-20T00:00:00"/>
    <x v="4"/>
    <n v="29955"/>
    <n v="2692230"/>
    <m/>
    <m/>
    <m/>
    <x v="0"/>
    <x v="2"/>
  </r>
  <r>
    <d v="2020-05-05T00:00:00"/>
    <x v="4"/>
    <n v="22848"/>
    <n v="2079900"/>
    <m/>
    <m/>
    <m/>
    <x v="0"/>
    <x v="3"/>
  </r>
  <r>
    <d v="2020-04-28T00:00:00"/>
    <x v="4"/>
    <n v="23314.5"/>
    <n v="2136817.5"/>
    <m/>
    <m/>
    <m/>
    <x v="0"/>
    <x v="4"/>
  </r>
  <r>
    <d v="2020-05-13T00:00:00"/>
    <x v="4"/>
    <n v="26464.5"/>
    <n v="2373337.5"/>
    <m/>
    <m/>
    <m/>
    <x v="0"/>
    <x v="1"/>
  </r>
  <r>
    <d v="2020-05-03T00:00:00"/>
    <x v="4"/>
    <n v="23539.5"/>
    <n v="2170309.5"/>
    <m/>
    <m/>
    <m/>
    <x v="0"/>
    <x v="4"/>
  </r>
  <r>
    <d v="2020-05-06T00:00:00"/>
    <x v="4"/>
    <n v="24678"/>
    <n v="2232519"/>
    <m/>
    <m/>
    <m/>
    <x v="0"/>
    <x v="3"/>
  </r>
  <r>
    <d v="2020-05-23T00:00:00"/>
    <x v="4"/>
    <n v="38176.5"/>
    <n v="3385372.5"/>
    <m/>
    <m/>
    <m/>
    <x v="0"/>
    <x v="2"/>
  </r>
  <r>
    <d v="2020-05-25T00:00:00"/>
    <x v="4"/>
    <n v="30603"/>
    <n v="2865727.5"/>
    <m/>
    <m/>
    <m/>
    <x v="0"/>
    <x v="0"/>
  </r>
  <r>
    <d v="2020-04-30T00:00:00"/>
    <x v="4"/>
    <n v="24211.5"/>
    <n v="2267664"/>
    <m/>
    <m/>
    <m/>
    <x v="0"/>
    <x v="4"/>
  </r>
  <r>
    <d v="2020-05-10T00:00:00"/>
    <x v="4"/>
    <n v="31399.5"/>
    <n v="2862298.5"/>
    <m/>
    <m/>
    <m/>
    <x v="0"/>
    <x v="3"/>
  </r>
  <r>
    <d v="2020-05-08T00:00:00"/>
    <x v="4"/>
    <n v="25294.5"/>
    <n v="2271454.5"/>
    <m/>
    <m/>
    <m/>
    <x v="0"/>
    <x v="3"/>
  </r>
  <r>
    <d v="2020-05-07T00:00:00"/>
    <x v="4"/>
    <n v="25468.5"/>
    <n v="2350672.5"/>
    <m/>
    <m/>
    <m/>
    <x v="0"/>
    <x v="3"/>
  </r>
  <r>
    <d v="2020-05-24T00:00:00"/>
    <x v="4"/>
    <n v="31854"/>
    <n v="2915533.5"/>
    <m/>
    <m/>
    <m/>
    <x v="0"/>
    <x v="2"/>
  </r>
  <r>
    <d v="2020-05-31T00:00:00"/>
    <x v="4"/>
    <n v="32359.5"/>
    <n v="2991999"/>
    <m/>
    <m/>
    <m/>
    <x v="0"/>
    <x v="0"/>
  </r>
  <r>
    <d v="2020-05-30T00:00:00"/>
    <x v="4"/>
    <n v="39867"/>
    <n v="3654166.5"/>
    <m/>
    <m/>
    <m/>
    <x v="0"/>
    <x v="0"/>
  </r>
  <r>
    <d v="2020-05-28T00:00:00"/>
    <x v="4"/>
    <n v="31974"/>
    <n v="3004213.5"/>
    <m/>
    <m/>
    <m/>
    <x v="0"/>
    <x v="0"/>
  </r>
  <r>
    <d v="2020-05-16T00:00:00"/>
    <x v="5"/>
    <n v="321412.5"/>
    <n v="32235864"/>
    <m/>
    <m/>
    <m/>
    <x v="0"/>
    <x v="1"/>
  </r>
  <r>
    <d v="2020-05-19T00:00:00"/>
    <x v="5"/>
    <n v="276568.5"/>
    <n v="27093624"/>
    <m/>
    <m/>
    <m/>
    <x v="0"/>
    <x v="2"/>
  </r>
  <r>
    <d v="2020-05-17T00:00:00"/>
    <x v="5"/>
    <n v="269029.5"/>
    <n v="26659930.5"/>
    <m/>
    <m/>
    <m/>
    <x v="0"/>
    <x v="1"/>
  </r>
  <r>
    <d v="2020-05-09T00:00:00"/>
    <x v="5"/>
    <n v="285972"/>
    <n v="29768199"/>
    <m/>
    <m/>
    <m/>
    <x v="0"/>
    <x v="3"/>
  </r>
  <r>
    <d v="2020-05-04T00:00:00"/>
    <x v="5"/>
    <n v="283942.5"/>
    <n v="29357940"/>
    <m/>
    <m/>
    <m/>
    <x v="0"/>
    <x v="3"/>
  </r>
  <r>
    <d v="2020-04-29T00:00:00"/>
    <x v="5"/>
    <n v="298059"/>
    <n v="30869287.5"/>
    <m/>
    <m/>
    <m/>
    <x v="0"/>
    <x v="4"/>
  </r>
  <r>
    <d v="2020-05-02T00:00:00"/>
    <x v="5"/>
    <n v="232903.5"/>
    <n v="24342016.5"/>
    <m/>
    <m/>
    <m/>
    <x v="0"/>
    <x v="4"/>
  </r>
  <r>
    <d v="2020-05-26T00:00:00"/>
    <x v="5"/>
    <n v="276966"/>
    <n v="27872617.898850001"/>
    <m/>
    <m/>
    <m/>
    <x v="0"/>
    <x v="0"/>
  </r>
  <r>
    <d v="2020-05-01T00:00:00"/>
    <x v="5"/>
    <n v="296149.5"/>
    <n v="31053316.5"/>
    <m/>
    <m/>
    <m/>
    <x v="0"/>
    <x v="4"/>
  </r>
  <r>
    <d v="2020-05-12T00:00:00"/>
    <x v="5"/>
    <n v="281796"/>
    <n v="29042520"/>
    <m/>
    <m/>
    <m/>
    <x v="0"/>
    <x v="1"/>
  </r>
  <r>
    <d v="2020-05-21T00:00:00"/>
    <x v="5"/>
    <n v="288936"/>
    <n v="27852900"/>
    <m/>
    <m/>
    <m/>
    <x v="0"/>
    <x v="2"/>
  </r>
  <r>
    <d v="2020-05-20T00:00:00"/>
    <x v="5"/>
    <n v="300151.5"/>
    <n v="29368771.617449999"/>
    <m/>
    <m/>
    <m/>
    <x v="0"/>
    <x v="2"/>
  </r>
  <r>
    <d v="2020-05-05T00:00:00"/>
    <x v="5"/>
    <n v="262734"/>
    <n v="27278441.145"/>
    <m/>
    <m/>
    <m/>
    <x v="0"/>
    <x v="3"/>
  </r>
  <r>
    <d v="2020-04-28T00:00:00"/>
    <x v="5"/>
    <n v="286002"/>
    <n v="29159032.5"/>
    <m/>
    <m/>
    <m/>
    <x v="0"/>
    <x v="4"/>
  </r>
  <r>
    <d v="2020-05-13T00:00:00"/>
    <x v="5"/>
    <n v="258459"/>
    <n v="26467453.5"/>
    <m/>
    <m/>
    <m/>
    <x v="0"/>
    <x v="1"/>
  </r>
  <r>
    <d v="2020-05-03T00:00:00"/>
    <x v="5"/>
    <n v="274083"/>
    <n v="28427001"/>
    <m/>
    <m/>
    <m/>
    <x v="0"/>
    <x v="4"/>
  </r>
  <r>
    <d v="2020-05-06T00:00:00"/>
    <x v="5"/>
    <n v="277512"/>
    <n v="28770810.105599999"/>
    <m/>
    <m/>
    <m/>
    <x v="0"/>
    <x v="3"/>
  </r>
  <r>
    <d v="2020-05-23T00:00:00"/>
    <x v="5"/>
    <n v="356982"/>
    <n v="35103926.711549997"/>
    <m/>
    <m/>
    <m/>
    <x v="0"/>
    <x v="2"/>
  </r>
  <r>
    <d v="2020-05-25T00:00:00"/>
    <x v="5"/>
    <n v="266983.5"/>
    <n v="27165913.5"/>
    <m/>
    <m/>
    <m/>
    <x v="0"/>
    <x v="0"/>
  </r>
  <r>
    <d v="2020-04-30T00:00:00"/>
    <x v="5"/>
    <n v="311131.5"/>
    <n v="32418879"/>
    <m/>
    <m/>
    <m/>
    <x v="0"/>
    <x v="4"/>
  </r>
  <r>
    <d v="2020-05-10T00:00:00"/>
    <x v="5"/>
    <n v="287206.5"/>
    <n v="29536176.10605"/>
    <m/>
    <m/>
    <m/>
    <x v="0"/>
    <x v="3"/>
  </r>
  <r>
    <d v="2020-05-08T00:00:00"/>
    <x v="5"/>
    <n v="370092"/>
    <n v="38091556.5"/>
    <m/>
    <m/>
    <m/>
    <x v="0"/>
    <x v="3"/>
  </r>
  <r>
    <d v="2020-05-07T00:00:00"/>
    <x v="5"/>
    <n v="247813.5"/>
    <n v="25325271"/>
    <m/>
    <m/>
    <m/>
    <x v="0"/>
    <x v="3"/>
  </r>
  <r>
    <d v="2020-05-24T00:00:00"/>
    <x v="5"/>
    <n v="287740.5"/>
    <n v="28188534"/>
    <m/>
    <m/>
    <m/>
    <x v="0"/>
    <x v="2"/>
  </r>
  <r>
    <d v="2020-05-16T00:00:00"/>
    <x v="6"/>
    <n v="408810"/>
    <n v="42323631"/>
    <m/>
    <m/>
    <m/>
    <x v="0"/>
    <x v="1"/>
  </r>
  <r>
    <d v="2020-05-19T00:00:00"/>
    <x v="6"/>
    <n v="362536.5"/>
    <n v="37023243"/>
    <m/>
    <m/>
    <m/>
    <x v="0"/>
    <x v="2"/>
  </r>
  <r>
    <d v="2020-05-17T00:00:00"/>
    <x v="6"/>
    <n v="357072"/>
    <n v="36834567"/>
    <m/>
    <m/>
    <m/>
    <x v="0"/>
    <x v="1"/>
  </r>
  <r>
    <d v="2020-05-09T00:00:00"/>
    <x v="6"/>
    <n v="359214"/>
    <n v="38693427"/>
    <m/>
    <m/>
    <m/>
    <x v="0"/>
    <x v="3"/>
  </r>
  <r>
    <d v="2020-05-04T00:00:00"/>
    <x v="6"/>
    <n v="360255"/>
    <n v="38406954"/>
    <m/>
    <m/>
    <m/>
    <x v="0"/>
    <x v="3"/>
  </r>
  <r>
    <d v="2020-04-29T00:00:00"/>
    <x v="6"/>
    <n v="387220.5"/>
    <n v="41559384"/>
    <m/>
    <m/>
    <m/>
    <x v="0"/>
    <x v="4"/>
  </r>
  <r>
    <d v="2020-05-02T00:00:00"/>
    <x v="6"/>
    <n v="296580"/>
    <n v="31843737"/>
    <m/>
    <m/>
    <m/>
    <x v="0"/>
    <x v="4"/>
  </r>
  <r>
    <d v="2020-05-26T00:00:00"/>
    <x v="6"/>
    <n v="369861"/>
    <n v="38365960.5"/>
    <m/>
    <m/>
    <m/>
    <x v="0"/>
    <x v="0"/>
  </r>
  <r>
    <d v="2020-05-01T00:00:00"/>
    <x v="6"/>
    <n v="372504"/>
    <n v="40077193.5"/>
    <m/>
    <m/>
    <m/>
    <x v="0"/>
    <x v="4"/>
  </r>
  <r>
    <d v="2020-05-12T00:00:00"/>
    <x v="6"/>
    <n v="373392"/>
    <n v="39578577"/>
    <m/>
    <m/>
    <m/>
    <x v="0"/>
    <x v="1"/>
  </r>
  <r>
    <d v="2020-05-21T00:00:00"/>
    <x v="6"/>
    <n v="378043.5"/>
    <n v="37902156.57"/>
    <m/>
    <m/>
    <m/>
    <x v="0"/>
    <x v="2"/>
  </r>
  <r>
    <d v="2020-05-20T00:00:00"/>
    <x v="6"/>
    <n v="388668"/>
    <n v="39639309"/>
    <m/>
    <m/>
    <m/>
    <x v="0"/>
    <x v="2"/>
  </r>
  <r>
    <d v="2020-05-05T00:00:00"/>
    <x v="6"/>
    <n v="333792"/>
    <n v="35671734"/>
    <m/>
    <m/>
    <m/>
    <x v="0"/>
    <x v="3"/>
  </r>
  <r>
    <d v="2020-04-28T00:00:00"/>
    <x v="6"/>
    <n v="376060.5"/>
    <n v="39918028.5"/>
    <m/>
    <m/>
    <m/>
    <x v="0"/>
    <x v="4"/>
  </r>
  <r>
    <d v="2020-05-13T00:00:00"/>
    <x v="6"/>
    <n v="350068.5"/>
    <n v="37197115.5"/>
    <m/>
    <m/>
    <m/>
    <x v="0"/>
    <x v="1"/>
  </r>
  <r>
    <d v="2020-05-31T00:00:00"/>
    <x v="5"/>
    <n v="294337.5"/>
    <n v="29327766"/>
    <m/>
    <m/>
    <m/>
    <x v="0"/>
    <x v="0"/>
  </r>
  <r>
    <d v="2020-05-03T00:00:00"/>
    <x v="6"/>
    <n v="342666"/>
    <n v="36631999.5"/>
    <m/>
    <m/>
    <m/>
    <x v="0"/>
    <x v="4"/>
  </r>
  <r>
    <d v="2020-05-30T00:00:00"/>
    <x v="5"/>
    <n v="364882.5"/>
    <n v="35724493.5"/>
    <m/>
    <m/>
    <m/>
    <x v="0"/>
    <x v="0"/>
  </r>
  <r>
    <d v="2020-05-06T00:00:00"/>
    <x v="6"/>
    <n v="355278"/>
    <n v="38092344"/>
    <m/>
    <m/>
    <m/>
    <x v="0"/>
    <x v="3"/>
  </r>
  <r>
    <d v="2020-05-23T00:00:00"/>
    <x v="6"/>
    <n v="456885"/>
    <n v="46408080"/>
    <m/>
    <m/>
    <m/>
    <x v="0"/>
    <x v="2"/>
  </r>
  <r>
    <d v="2020-05-28T00:00:00"/>
    <x v="5"/>
    <n v="278491.5"/>
    <n v="28151004.75"/>
    <m/>
    <m/>
    <m/>
    <x v="0"/>
    <x v="0"/>
  </r>
  <r>
    <d v="2020-05-25T00:00:00"/>
    <x v="6"/>
    <n v="349734"/>
    <n v="36883428"/>
    <m/>
    <m/>
    <m/>
    <x v="0"/>
    <x v="0"/>
  </r>
  <r>
    <d v="2020-04-30T00:00:00"/>
    <x v="6"/>
    <n v="401580"/>
    <n v="43028734.5"/>
    <m/>
    <m/>
    <m/>
    <x v="0"/>
    <x v="4"/>
  </r>
  <r>
    <d v="2020-05-10T00:00:00"/>
    <x v="6"/>
    <n v="368649"/>
    <n v="39010875"/>
    <m/>
    <m/>
    <m/>
    <x v="0"/>
    <x v="3"/>
  </r>
  <r>
    <d v="2020-05-08T00:00:00"/>
    <x v="6"/>
    <n v="463530"/>
    <n v="49123180.5"/>
    <m/>
    <m/>
    <m/>
    <x v="0"/>
    <x v="3"/>
  </r>
  <r>
    <d v="2020-05-07T00:00:00"/>
    <x v="6"/>
    <n v="319110"/>
    <n v="33763989"/>
    <m/>
    <m/>
    <m/>
    <x v="0"/>
    <x v="3"/>
  </r>
  <r>
    <d v="2020-05-24T00:00:00"/>
    <x v="6"/>
    <n v="375744"/>
    <n v="38191381.5"/>
    <m/>
    <m/>
    <m/>
    <x v="0"/>
    <x v="2"/>
  </r>
  <r>
    <d v="2020-05-16T00:00:00"/>
    <x v="7"/>
    <n v="81331.5"/>
    <n v="6652179"/>
    <m/>
    <m/>
    <m/>
    <x v="0"/>
    <x v="1"/>
  </r>
  <r>
    <d v="2020-05-19T00:00:00"/>
    <x v="7"/>
    <n v="75796.5"/>
    <n v="6173463"/>
    <m/>
    <m/>
    <m/>
    <x v="0"/>
    <x v="2"/>
  </r>
  <r>
    <d v="2020-05-17T00:00:00"/>
    <x v="7"/>
    <n v="72861"/>
    <n v="5952802.5"/>
    <m/>
    <m/>
    <m/>
    <x v="0"/>
    <x v="1"/>
  </r>
  <r>
    <d v="2020-05-09T00:00:00"/>
    <x v="7"/>
    <n v="83373"/>
    <n v="7253427"/>
    <m/>
    <m/>
    <m/>
    <x v="0"/>
    <x v="3"/>
  </r>
  <r>
    <d v="2020-05-04T00:00:00"/>
    <x v="7"/>
    <n v="64108.5"/>
    <n v="5561452.5"/>
    <m/>
    <m/>
    <m/>
    <x v="0"/>
    <x v="3"/>
  </r>
  <r>
    <d v="2020-04-29T00:00:00"/>
    <x v="7"/>
    <n v="74707.5"/>
    <n v="6454458"/>
    <m/>
    <m/>
    <m/>
    <x v="0"/>
    <x v="4"/>
  </r>
  <r>
    <d v="2020-05-02T00:00:00"/>
    <x v="7"/>
    <n v="46216.5"/>
    <n v="4118251.5"/>
    <m/>
    <m/>
    <m/>
    <x v="0"/>
    <x v="4"/>
  </r>
  <r>
    <d v="2020-05-26T00:00:00"/>
    <x v="7"/>
    <n v="67726.5"/>
    <n v="5864989.5"/>
    <m/>
    <m/>
    <m/>
    <x v="0"/>
    <x v="0"/>
  </r>
  <r>
    <d v="2020-05-01T00:00:00"/>
    <x v="7"/>
    <n v="82228.5"/>
    <n v="7032225"/>
    <m/>
    <m/>
    <m/>
    <x v="0"/>
    <x v="4"/>
  </r>
  <r>
    <d v="2020-05-12T00:00:00"/>
    <x v="7"/>
    <n v="64390.5"/>
    <n v="5523145.5"/>
    <m/>
    <m/>
    <m/>
    <x v="0"/>
    <x v="1"/>
  </r>
  <r>
    <d v="2020-05-21T00:00:00"/>
    <x v="7"/>
    <n v="73126.5"/>
    <n v="5864085"/>
    <m/>
    <m/>
    <m/>
    <x v="0"/>
    <x v="2"/>
  </r>
  <r>
    <d v="2020-05-20T00:00:00"/>
    <x v="7"/>
    <n v="99631.5"/>
    <n v="7121946"/>
    <m/>
    <m/>
    <m/>
    <x v="0"/>
    <x v="2"/>
  </r>
  <r>
    <d v="2020-05-05T00:00:00"/>
    <x v="7"/>
    <n v="66396"/>
    <n v="5770539"/>
    <m/>
    <m/>
    <m/>
    <x v="0"/>
    <x v="3"/>
  </r>
  <r>
    <d v="2020-04-28T00:00:00"/>
    <x v="7"/>
    <n v="73147.5"/>
    <n v="6288246"/>
    <m/>
    <m/>
    <m/>
    <x v="0"/>
    <x v="4"/>
  </r>
  <r>
    <d v="2020-05-13T00:00:00"/>
    <x v="7"/>
    <n v="73062"/>
    <n v="6333828"/>
    <m/>
    <m/>
    <m/>
    <x v="0"/>
    <x v="1"/>
  </r>
  <r>
    <d v="2020-05-31T00:00:00"/>
    <x v="6"/>
    <n v="379663.5"/>
    <n v="39380178"/>
    <m/>
    <m/>
    <m/>
    <x v="0"/>
    <x v="0"/>
  </r>
  <r>
    <d v="2020-05-03T00:00:00"/>
    <x v="7"/>
    <n v="70581"/>
    <n v="6221320.5"/>
    <m/>
    <m/>
    <m/>
    <x v="0"/>
    <x v="4"/>
  </r>
  <r>
    <d v="2020-05-30T00:00:00"/>
    <x v="6"/>
    <n v="453123"/>
    <n v="46370904"/>
    <m/>
    <m/>
    <m/>
    <x v="0"/>
    <x v="0"/>
  </r>
  <r>
    <d v="2020-05-06T00:00:00"/>
    <x v="7"/>
    <n v="63012"/>
    <n v="5454121.5"/>
    <m/>
    <m/>
    <m/>
    <x v="0"/>
    <x v="3"/>
  </r>
  <r>
    <d v="2020-05-23T00:00:00"/>
    <x v="7"/>
    <n v="89556"/>
    <n v="7173117"/>
    <m/>
    <m/>
    <m/>
    <x v="0"/>
    <x v="2"/>
  </r>
  <r>
    <d v="2020-05-28T00:00:00"/>
    <x v="6"/>
    <n v="364638"/>
    <n v="37947688.5"/>
    <m/>
    <m/>
    <m/>
    <x v="0"/>
    <x v="0"/>
  </r>
  <r>
    <d v="2020-05-25T00:00:00"/>
    <x v="7"/>
    <n v="66316.5"/>
    <n v="5704650"/>
    <m/>
    <m/>
    <m/>
    <x v="0"/>
    <x v="0"/>
  </r>
  <r>
    <d v="2020-04-30T00:00:00"/>
    <x v="7"/>
    <n v="78235.5"/>
    <n v="6819594"/>
    <m/>
    <m/>
    <m/>
    <x v="0"/>
    <x v="4"/>
  </r>
  <r>
    <d v="2020-05-10T00:00:00"/>
    <x v="7"/>
    <n v="88311"/>
    <n v="7726069.5"/>
    <m/>
    <m/>
    <m/>
    <x v="0"/>
    <x v="3"/>
  </r>
  <r>
    <d v="2020-05-08T00:00:00"/>
    <x v="7"/>
    <n v="61804.5"/>
    <n v="5365708.5"/>
    <m/>
    <m/>
    <m/>
    <x v="0"/>
    <x v="3"/>
  </r>
  <r>
    <d v="2020-05-07T00:00:00"/>
    <x v="7"/>
    <n v="71067"/>
    <n v="6175837.5"/>
    <m/>
    <m/>
    <m/>
    <x v="0"/>
    <x v="3"/>
  </r>
  <r>
    <d v="2020-05-24T00:00:00"/>
    <x v="7"/>
    <n v="74649"/>
    <n v="6098236.5"/>
    <m/>
    <m/>
    <m/>
    <x v="0"/>
    <x v="2"/>
  </r>
  <r>
    <d v="2020-05-16T00:00:00"/>
    <x v="8"/>
    <n v="44560.5"/>
    <n v="4025148"/>
    <m/>
    <m/>
    <m/>
    <x v="0"/>
    <x v="1"/>
  </r>
  <r>
    <d v="2020-05-19T00:00:00"/>
    <x v="8"/>
    <n v="38250"/>
    <n v="3552937.5"/>
    <m/>
    <m/>
    <m/>
    <x v="0"/>
    <x v="2"/>
  </r>
  <r>
    <d v="2020-05-17T00:00:00"/>
    <x v="8"/>
    <n v="34830"/>
    <n v="3191155.5"/>
    <m/>
    <m/>
    <m/>
    <x v="0"/>
    <x v="1"/>
  </r>
  <r>
    <d v="2020-05-09T00:00:00"/>
    <x v="8"/>
    <n v="32239.5"/>
    <n v="3084892.5"/>
    <m/>
    <m/>
    <m/>
    <x v="0"/>
    <x v="3"/>
  </r>
  <r>
    <d v="2020-05-04T00:00:00"/>
    <x v="8"/>
    <n v="30780"/>
    <n v="2817853.5"/>
    <m/>
    <m/>
    <m/>
    <x v="0"/>
    <x v="3"/>
  </r>
  <r>
    <d v="2020-04-29T00:00:00"/>
    <x v="8"/>
    <n v="29142"/>
    <n v="2627595"/>
    <m/>
    <m/>
    <m/>
    <x v="0"/>
    <x v="4"/>
  </r>
  <r>
    <d v="2020-05-02T00:00:00"/>
    <x v="8"/>
    <n v="26428.5"/>
    <n v="2470465.5"/>
    <m/>
    <m/>
    <m/>
    <x v="0"/>
    <x v="4"/>
  </r>
  <r>
    <d v="2020-05-26T00:00:00"/>
    <x v="8"/>
    <n v="40744.5"/>
    <n v="3700311"/>
    <m/>
    <m/>
    <m/>
    <x v="0"/>
    <x v="0"/>
  </r>
  <r>
    <d v="2020-05-01T00:00:00"/>
    <x v="8"/>
    <n v="46620"/>
    <n v="4293241.5"/>
    <m/>
    <m/>
    <m/>
    <x v="0"/>
    <x v="4"/>
  </r>
  <r>
    <d v="2020-05-12T00:00:00"/>
    <x v="8"/>
    <n v="32419.5"/>
    <n v="3080614.5"/>
    <m/>
    <m/>
    <m/>
    <x v="0"/>
    <x v="1"/>
  </r>
  <r>
    <d v="2020-05-21T00:00:00"/>
    <x v="8"/>
    <n v="40819.5"/>
    <n v="3810394.5"/>
    <m/>
    <m/>
    <m/>
    <x v="0"/>
    <x v="2"/>
  </r>
  <r>
    <d v="2020-05-20T00:00:00"/>
    <x v="8"/>
    <n v="41391"/>
    <n v="3918987"/>
    <m/>
    <m/>
    <m/>
    <x v="0"/>
    <x v="2"/>
  </r>
  <r>
    <d v="2020-05-05T00:00:00"/>
    <x v="8"/>
    <n v="29482.5"/>
    <n v="2648688"/>
    <m/>
    <m/>
    <m/>
    <x v="0"/>
    <x v="3"/>
  </r>
  <r>
    <d v="2020-04-28T00:00:00"/>
    <x v="8"/>
    <n v="32181"/>
    <n v="2863600.5"/>
    <m/>
    <m/>
    <m/>
    <x v="0"/>
    <x v="4"/>
  </r>
  <r>
    <d v="2020-05-13T00:00:00"/>
    <x v="8"/>
    <n v="35535"/>
    <n v="3288069"/>
    <m/>
    <m/>
    <m/>
    <x v="0"/>
    <x v="1"/>
  </r>
  <r>
    <d v="2020-05-31T00:00:00"/>
    <x v="7"/>
    <n v="76234.5"/>
    <n v="6500848.5"/>
    <m/>
    <m/>
    <m/>
    <x v="0"/>
    <x v="0"/>
  </r>
  <r>
    <d v="2020-05-03T00:00:00"/>
    <x v="8"/>
    <n v="29935.5"/>
    <n v="2720002.5"/>
    <m/>
    <m/>
    <m/>
    <x v="0"/>
    <x v="4"/>
  </r>
  <r>
    <d v="2020-05-30T00:00:00"/>
    <x v="7"/>
    <n v="106926"/>
    <n v="9098386.5"/>
    <m/>
    <m/>
    <m/>
    <x v="0"/>
    <x v="0"/>
  </r>
  <r>
    <d v="2020-05-06T00:00:00"/>
    <x v="8"/>
    <n v="30342"/>
    <n v="2738127"/>
    <m/>
    <m/>
    <m/>
    <x v="0"/>
    <x v="3"/>
  </r>
  <r>
    <d v="2020-05-23T00:00:00"/>
    <x v="8"/>
    <n v="42999"/>
    <n v="3883215"/>
    <m/>
    <m/>
    <m/>
    <x v="0"/>
    <x v="2"/>
  </r>
  <r>
    <d v="2020-05-28T00:00:00"/>
    <x v="7"/>
    <n v="69945"/>
    <n v="6101931"/>
    <m/>
    <m/>
    <m/>
    <x v="0"/>
    <x v="0"/>
  </r>
  <r>
    <d v="2020-05-25T00:00:00"/>
    <x v="8"/>
    <n v="38740.5"/>
    <n v="3561655.5"/>
    <m/>
    <m/>
    <m/>
    <x v="0"/>
    <x v="0"/>
  </r>
  <r>
    <d v="2020-04-30T00:00:00"/>
    <x v="8"/>
    <n v="31231.5"/>
    <n v="2853310.5"/>
    <m/>
    <m/>
    <m/>
    <x v="0"/>
    <x v="4"/>
  </r>
  <r>
    <d v="2020-05-10T00:00:00"/>
    <x v="8"/>
    <n v="37489.5"/>
    <n v="3549097.5"/>
    <m/>
    <m/>
    <m/>
    <x v="0"/>
    <x v="3"/>
  </r>
  <r>
    <d v="2020-05-08T00:00:00"/>
    <x v="8"/>
    <n v="34399.5"/>
    <n v="3201358.5"/>
    <m/>
    <m/>
    <m/>
    <x v="0"/>
    <x v="3"/>
  </r>
  <r>
    <d v="2020-05-07T00:00:00"/>
    <x v="8"/>
    <n v="32851.5"/>
    <n v="2934504"/>
    <m/>
    <m/>
    <m/>
    <x v="0"/>
    <x v="3"/>
  </r>
  <r>
    <d v="2020-05-24T00:00:00"/>
    <x v="8"/>
    <n v="38194.5"/>
    <n v="3449302.5"/>
    <m/>
    <m/>
    <m/>
    <x v="0"/>
    <x v="2"/>
  </r>
  <r>
    <d v="2020-05-31T00:00:00"/>
    <x v="8"/>
    <n v="42423"/>
    <n v="3994153.5"/>
    <m/>
    <m/>
    <m/>
    <x v="0"/>
    <x v="0"/>
  </r>
  <r>
    <d v="2020-05-30T00:00:00"/>
    <x v="8"/>
    <n v="48286.5"/>
    <n v="4456441.5"/>
    <m/>
    <m/>
    <m/>
    <x v="0"/>
    <x v="0"/>
  </r>
  <r>
    <d v="2020-05-28T00:00:00"/>
    <x v="8"/>
    <n v="41442"/>
    <n v="3893680.5"/>
    <m/>
    <m/>
    <m/>
    <x v="0"/>
    <x v="0"/>
  </r>
  <r>
    <d v="2020-05-16T00:00:00"/>
    <x v="9"/>
    <n v="18600"/>
    <n v="1601425.5"/>
    <m/>
    <m/>
    <m/>
    <x v="0"/>
    <x v="1"/>
  </r>
  <r>
    <d v="2020-05-19T00:00:00"/>
    <x v="9"/>
    <n v="16638"/>
    <n v="1364847"/>
    <m/>
    <m/>
    <m/>
    <x v="0"/>
    <x v="2"/>
  </r>
  <r>
    <d v="2020-05-17T00:00:00"/>
    <x v="9"/>
    <n v="15609"/>
    <n v="1377577.5"/>
    <m/>
    <m/>
    <m/>
    <x v="0"/>
    <x v="1"/>
  </r>
  <r>
    <d v="2020-05-09T00:00:00"/>
    <x v="9"/>
    <n v="13948.5"/>
    <n v="1222932"/>
    <m/>
    <m/>
    <m/>
    <x v="0"/>
    <x v="3"/>
  </r>
  <r>
    <d v="2020-05-04T00:00:00"/>
    <x v="9"/>
    <n v="12301.5"/>
    <n v="1085211"/>
    <m/>
    <m/>
    <m/>
    <x v="0"/>
    <x v="3"/>
  </r>
  <r>
    <d v="2020-04-29T00:00:00"/>
    <x v="9"/>
    <n v="13014"/>
    <n v="1115992.5"/>
    <m/>
    <m/>
    <m/>
    <x v="0"/>
    <x v="4"/>
  </r>
  <r>
    <d v="2020-05-02T00:00:00"/>
    <x v="9"/>
    <n v="12313.5"/>
    <n v="1053220.5"/>
    <m/>
    <m/>
    <m/>
    <x v="0"/>
    <x v="4"/>
  </r>
  <r>
    <d v="2020-05-26T00:00:00"/>
    <x v="9"/>
    <n v="17391"/>
    <n v="1489132.5"/>
    <m/>
    <m/>
    <m/>
    <x v="0"/>
    <x v="0"/>
  </r>
  <r>
    <d v="2020-05-01T00:00:00"/>
    <x v="9"/>
    <n v="17113.5"/>
    <n v="1465842"/>
    <m/>
    <m/>
    <m/>
    <x v="0"/>
    <x v="4"/>
  </r>
  <r>
    <d v="2020-05-12T00:00:00"/>
    <x v="9"/>
    <n v="12802.5"/>
    <n v="1123830"/>
    <m/>
    <m/>
    <m/>
    <x v="0"/>
    <x v="1"/>
  </r>
  <r>
    <d v="2020-05-21T00:00:00"/>
    <x v="9"/>
    <n v="16554"/>
    <n v="1380751.5"/>
    <m/>
    <m/>
    <m/>
    <x v="0"/>
    <x v="2"/>
  </r>
  <r>
    <d v="2020-05-20T00:00:00"/>
    <x v="9"/>
    <n v="17329.5"/>
    <n v="1430254.5"/>
    <m/>
    <m/>
    <m/>
    <x v="0"/>
    <x v="2"/>
  </r>
  <r>
    <d v="2020-05-05T00:00:00"/>
    <x v="9"/>
    <n v="15987"/>
    <n v="1384179"/>
    <m/>
    <m/>
    <m/>
    <x v="0"/>
    <x v="3"/>
  </r>
  <r>
    <d v="2020-04-28T00:00:00"/>
    <x v="9"/>
    <n v="13303.5"/>
    <n v="1102887"/>
    <m/>
    <m/>
    <m/>
    <x v="0"/>
    <x v="4"/>
  </r>
  <r>
    <d v="2020-05-13T00:00:00"/>
    <x v="9"/>
    <n v="14305.5"/>
    <n v="1243507.5"/>
    <m/>
    <m/>
    <m/>
    <x v="0"/>
    <x v="1"/>
  </r>
  <r>
    <d v="2020-05-03T00:00:00"/>
    <x v="9"/>
    <n v="12924"/>
    <n v="1120009.5"/>
    <m/>
    <m/>
    <m/>
    <x v="0"/>
    <x v="4"/>
  </r>
  <r>
    <d v="2020-05-06T00:00:00"/>
    <x v="9"/>
    <n v="14061"/>
    <n v="1221057"/>
    <m/>
    <m/>
    <m/>
    <x v="0"/>
    <x v="3"/>
  </r>
  <r>
    <d v="2020-05-23T00:00:00"/>
    <x v="9"/>
    <n v="21958.5"/>
    <n v="1854001.5"/>
    <m/>
    <m/>
    <m/>
    <x v="0"/>
    <x v="2"/>
  </r>
  <r>
    <d v="2020-05-25T00:00:00"/>
    <x v="9"/>
    <n v="17211"/>
    <n v="1507867.5"/>
    <m/>
    <m/>
    <m/>
    <x v="0"/>
    <x v="0"/>
  </r>
  <r>
    <d v="2020-04-30T00:00:00"/>
    <x v="9"/>
    <n v="12753"/>
    <n v="1103068.5"/>
    <m/>
    <m/>
    <m/>
    <x v="0"/>
    <x v="4"/>
  </r>
  <r>
    <d v="2020-05-10T00:00:00"/>
    <x v="9"/>
    <n v="16435.5"/>
    <n v="1471537.5"/>
    <m/>
    <m/>
    <m/>
    <x v="0"/>
    <x v="3"/>
  </r>
  <r>
    <d v="2020-05-08T00:00:00"/>
    <x v="9"/>
    <n v="14494.5"/>
    <n v="1269786"/>
    <m/>
    <m/>
    <m/>
    <x v="0"/>
    <x v="3"/>
  </r>
  <r>
    <d v="2020-05-07T00:00:00"/>
    <x v="9"/>
    <n v="12705"/>
    <n v="1123894.5"/>
    <m/>
    <m/>
    <m/>
    <x v="0"/>
    <x v="3"/>
  </r>
  <r>
    <d v="2020-05-24T00:00:00"/>
    <x v="9"/>
    <n v="18075"/>
    <n v="1548099"/>
    <m/>
    <m/>
    <m/>
    <x v="0"/>
    <x v="2"/>
  </r>
  <r>
    <d v="2020-05-16T00:00:00"/>
    <x v="10"/>
    <n v="13120.5"/>
    <n v="1215033"/>
    <m/>
    <m/>
    <m/>
    <x v="0"/>
    <x v="1"/>
  </r>
  <r>
    <d v="2020-05-19T00:00:00"/>
    <x v="10"/>
    <n v="16237.5"/>
    <n v="1403047.5"/>
    <m/>
    <m/>
    <m/>
    <x v="0"/>
    <x v="2"/>
  </r>
  <r>
    <d v="2020-05-17T00:00:00"/>
    <x v="10"/>
    <n v="11967"/>
    <n v="1060489.5"/>
    <m/>
    <m/>
    <m/>
    <x v="0"/>
    <x v="1"/>
  </r>
  <r>
    <d v="2020-05-09T00:00:00"/>
    <x v="10"/>
    <n v="12037.5"/>
    <n v="1081216.5"/>
    <m/>
    <m/>
    <m/>
    <x v="0"/>
    <x v="3"/>
  </r>
  <r>
    <d v="2020-05-04T00:00:00"/>
    <x v="10"/>
    <n v="7087.5"/>
    <n v="610855.5"/>
    <m/>
    <m/>
    <m/>
    <x v="0"/>
    <x v="3"/>
  </r>
  <r>
    <d v="2020-04-29T00:00:00"/>
    <x v="11"/>
    <n v="25816.5"/>
    <n v="2360914.5"/>
    <m/>
    <m/>
    <m/>
    <x v="0"/>
    <x v="4"/>
  </r>
  <r>
    <d v="2020-05-02T00:00:00"/>
    <x v="10"/>
    <n v="4624.5"/>
    <n v="433243.5"/>
    <m/>
    <m/>
    <m/>
    <x v="0"/>
    <x v="4"/>
  </r>
  <r>
    <d v="2020-05-26T00:00:00"/>
    <x v="10"/>
    <n v="12259.5"/>
    <n v="1152054"/>
    <m/>
    <m/>
    <m/>
    <x v="0"/>
    <x v="0"/>
  </r>
  <r>
    <d v="2020-05-01T00:00:00"/>
    <x v="10"/>
    <n v="5446.5"/>
    <n v="505572"/>
    <m/>
    <m/>
    <m/>
    <x v="0"/>
    <x v="4"/>
  </r>
  <r>
    <d v="2020-05-12T00:00:00"/>
    <x v="10"/>
    <n v="11296.5"/>
    <n v="989632.5"/>
    <m/>
    <m/>
    <m/>
    <x v="0"/>
    <x v="1"/>
  </r>
  <r>
    <d v="2020-05-21T00:00:00"/>
    <x v="10"/>
    <n v="12135"/>
    <n v="1103623.5"/>
    <m/>
    <m/>
    <m/>
    <x v="0"/>
    <x v="2"/>
  </r>
  <r>
    <d v="2020-05-20T00:00:00"/>
    <x v="10"/>
    <n v="12630"/>
    <n v="1104858"/>
    <m/>
    <m/>
    <m/>
    <x v="0"/>
    <x v="2"/>
  </r>
  <r>
    <d v="2020-05-05T00:00:00"/>
    <x v="10"/>
    <n v="8223"/>
    <n v="694593"/>
    <m/>
    <m/>
    <m/>
    <x v="0"/>
    <x v="3"/>
  </r>
  <r>
    <d v="2020-04-28T00:00:00"/>
    <x v="11"/>
    <n v="25149"/>
    <n v="2277072"/>
    <m/>
    <m/>
    <m/>
    <x v="0"/>
    <x v="4"/>
  </r>
  <r>
    <d v="2020-05-13T00:00:00"/>
    <x v="10"/>
    <n v="10401"/>
    <n v="949912.5"/>
    <m/>
    <m/>
    <m/>
    <x v="0"/>
    <x v="1"/>
  </r>
  <r>
    <d v="2020-05-31T00:00:00"/>
    <x v="9"/>
    <n v="17689.5"/>
    <n v="1592119.5"/>
    <m/>
    <m/>
    <m/>
    <x v="0"/>
    <x v="0"/>
  </r>
  <r>
    <d v="2020-05-03T00:00:00"/>
    <x v="10"/>
    <n v="8127"/>
    <n v="665302.5"/>
    <m/>
    <m/>
    <m/>
    <x v="0"/>
    <x v="4"/>
  </r>
  <r>
    <d v="2020-05-30T00:00:00"/>
    <x v="9"/>
    <n v="27250.5"/>
    <n v="2457252"/>
    <m/>
    <m/>
    <m/>
    <x v="0"/>
    <x v="0"/>
  </r>
  <r>
    <d v="2020-05-06T00:00:00"/>
    <x v="10"/>
    <n v="8464.5"/>
    <n v="739291.5"/>
    <m/>
    <m/>
    <m/>
    <x v="0"/>
    <x v="3"/>
  </r>
  <r>
    <d v="2020-05-23T00:00:00"/>
    <x v="10"/>
    <n v="14167.5"/>
    <n v="1315075.5"/>
    <m/>
    <m/>
    <m/>
    <x v="0"/>
    <x v="2"/>
  </r>
  <r>
    <d v="2020-05-28T00:00:00"/>
    <x v="9"/>
    <n v="16500"/>
    <n v="1487928"/>
    <m/>
    <m/>
    <m/>
    <x v="0"/>
    <x v="0"/>
  </r>
  <r>
    <d v="2020-05-25T00:00:00"/>
    <x v="10"/>
    <n v="13260"/>
    <n v="1230687"/>
    <m/>
    <m/>
    <m/>
    <x v="0"/>
    <x v="0"/>
  </r>
  <r>
    <d v="2020-04-30T00:00:00"/>
    <x v="10"/>
    <n v="4285.5"/>
    <n v="404691"/>
    <m/>
    <m/>
    <m/>
    <x v="0"/>
    <x v="4"/>
  </r>
  <r>
    <d v="2020-05-10T00:00:00"/>
    <x v="10"/>
    <n v="13440"/>
    <n v="1198285.5"/>
    <m/>
    <m/>
    <m/>
    <x v="0"/>
    <x v="3"/>
  </r>
  <r>
    <d v="2020-05-08T00:00:00"/>
    <x v="10"/>
    <n v="9058.5"/>
    <n v="798759"/>
    <m/>
    <m/>
    <m/>
    <x v="0"/>
    <x v="3"/>
  </r>
  <r>
    <d v="2020-05-07T00:00:00"/>
    <x v="10"/>
    <n v="8719.5"/>
    <n v="769276.5"/>
    <m/>
    <m/>
    <m/>
    <x v="0"/>
    <x v="3"/>
  </r>
  <r>
    <d v="2020-05-24T00:00:00"/>
    <x v="10"/>
    <n v="12666"/>
    <n v="1184865"/>
    <m/>
    <m/>
    <m/>
    <x v="0"/>
    <x v="2"/>
  </r>
  <r>
    <d v="2020-05-16T00:00:00"/>
    <x v="11"/>
    <n v="34563"/>
    <n v="2922883.5"/>
    <m/>
    <m/>
    <m/>
    <x v="0"/>
    <x v="1"/>
  </r>
  <r>
    <d v="2020-05-19T00:00:00"/>
    <x v="11"/>
    <n v="28882.5"/>
    <n v="2446530"/>
    <m/>
    <m/>
    <m/>
    <x v="0"/>
    <x v="2"/>
  </r>
  <r>
    <d v="2020-05-17T00:00:00"/>
    <x v="11"/>
    <n v="28275"/>
    <n v="2435632.5"/>
    <m/>
    <m/>
    <m/>
    <x v="0"/>
    <x v="1"/>
  </r>
  <r>
    <d v="2020-05-09T00:00:00"/>
    <x v="11"/>
    <n v="26271"/>
    <n v="2384937"/>
    <m/>
    <m/>
    <m/>
    <x v="0"/>
    <x v="3"/>
  </r>
  <r>
    <d v="2020-05-04T00:00:00"/>
    <x v="11"/>
    <n v="23587.5"/>
    <n v="2155668"/>
    <m/>
    <m/>
    <m/>
    <x v="0"/>
    <x v="3"/>
  </r>
  <r>
    <d v="2020-05-02T00:00:00"/>
    <x v="11"/>
    <n v="18427.5"/>
    <n v="1682851.5"/>
    <m/>
    <m/>
    <m/>
    <x v="0"/>
    <x v="4"/>
  </r>
  <r>
    <d v="2020-05-26T00:00:00"/>
    <x v="11"/>
    <n v="27156"/>
    <n v="2410803"/>
    <m/>
    <m/>
    <m/>
    <x v="0"/>
    <x v="0"/>
  </r>
  <r>
    <d v="2020-05-01T00:00:00"/>
    <x v="11"/>
    <n v="35190"/>
    <n v="3168510"/>
    <m/>
    <m/>
    <m/>
    <x v="0"/>
    <x v="4"/>
  </r>
  <r>
    <d v="2020-05-12T00:00:00"/>
    <x v="11"/>
    <n v="25483.5"/>
    <n v="2243160"/>
    <m/>
    <m/>
    <m/>
    <x v="0"/>
    <x v="1"/>
  </r>
  <r>
    <d v="2020-05-21T00:00:00"/>
    <x v="11"/>
    <n v="25362"/>
    <n v="2198935.5"/>
    <m/>
    <m/>
    <m/>
    <x v="0"/>
    <x v="2"/>
  </r>
  <r>
    <d v="2020-05-20T00:00:00"/>
    <x v="11"/>
    <n v="28849.5"/>
    <n v="2520759"/>
    <m/>
    <m/>
    <m/>
    <x v="0"/>
    <x v="2"/>
  </r>
  <r>
    <d v="2020-05-05T00:00:00"/>
    <x v="11"/>
    <n v="26367"/>
    <n v="2380333.5"/>
    <m/>
    <m/>
    <m/>
    <x v="0"/>
    <x v="3"/>
  </r>
  <r>
    <d v="2020-05-13T00:00:00"/>
    <x v="11"/>
    <n v="25539"/>
    <n v="2263651.5"/>
    <m/>
    <m/>
    <m/>
    <x v="0"/>
    <x v="1"/>
  </r>
  <r>
    <d v="2020-05-31T00:00:00"/>
    <x v="10"/>
    <n v="14808"/>
    <n v="1336789.5"/>
    <m/>
    <m/>
    <m/>
    <x v="0"/>
    <x v="0"/>
  </r>
  <r>
    <d v="2020-05-03T00:00:00"/>
    <x v="11"/>
    <n v="21343.5"/>
    <n v="1906557"/>
    <m/>
    <m/>
    <m/>
    <x v="0"/>
    <x v="4"/>
  </r>
  <r>
    <d v="2020-05-30T00:00:00"/>
    <x v="10"/>
    <n v="17946"/>
    <n v="1609090.5"/>
    <m/>
    <m/>
    <m/>
    <x v="0"/>
    <x v="0"/>
  </r>
  <r>
    <d v="2020-05-06T00:00:00"/>
    <x v="11"/>
    <n v="24337.5"/>
    <n v="2159350.5"/>
    <m/>
    <m/>
    <m/>
    <x v="0"/>
    <x v="3"/>
  </r>
  <r>
    <d v="2020-05-23T00:00:00"/>
    <x v="11"/>
    <n v="36997.5"/>
    <n v="3089140.5"/>
    <m/>
    <m/>
    <m/>
    <x v="0"/>
    <x v="2"/>
  </r>
  <r>
    <d v="2020-05-28T00:00:00"/>
    <x v="10"/>
    <n v="13864.5"/>
    <n v="1239747"/>
    <m/>
    <m/>
    <m/>
    <x v="0"/>
    <x v="0"/>
  </r>
  <r>
    <d v="2020-05-25T00:00:00"/>
    <x v="11"/>
    <n v="28494"/>
    <n v="2512803"/>
    <m/>
    <m/>
    <m/>
    <x v="0"/>
    <x v="0"/>
  </r>
  <r>
    <d v="2020-04-30T00:00:00"/>
    <x v="11"/>
    <n v="27883.5"/>
    <n v="2560080"/>
    <m/>
    <m/>
    <m/>
    <x v="0"/>
    <x v="4"/>
  </r>
  <r>
    <d v="2020-05-10T00:00:00"/>
    <x v="11"/>
    <n v="31224"/>
    <n v="2767270.5"/>
    <m/>
    <m/>
    <m/>
    <x v="0"/>
    <x v="3"/>
  </r>
  <r>
    <d v="2020-05-08T00:00:00"/>
    <x v="11"/>
    <n v="25020"/>
    <n v="2235960"/>
    <m/>
    <m/>
    <m/>
    <x v="0"/>
    <x v="3"/>
  </r>
  <r>
    <d v="2020-05-07T00:00:00"/>
    <x v="11"/>
    <n v="26184"/>
    <n v="2308336.5"/>
    <m/>
    <m/>
    <m/>
    <x v="0"/>
    <x v="3"/>
  </r>
  <r>
    <d v="2020-05-24T00:00:00"/>
    <x v="11"/>
    <n v="29824.5"/>
    <n v="2526909"/>
    <m/>
    <m/>
    <m/>
    <x v="0"/>
    <x v="2"/>
  </r>
  <r>
    <d v="2020-04-29T00:00:00"/>
    <x v="12"/>
    <n v="208351.5"/>
    <n v="21615333"/>
    <m/>
    <m/>
    <m/>
    <x v="0"/>
    <x v="4"/>
  </r>
  <r>
    <d v="2020-04-28T00:00:00"/>
    <x v="12"/>
    <n v="204637.5"/>
    <n v="21114898.5"/>
    <m/>
    <m/>
    <m/>
    <x v="0"/>
    <x v="4"/>
  </r>
  <r>
    <d v="2020-05-31T00:00:00"/>
    <x v="11"/>
    <n v="31372.5"/>
    <n v="2794324.5"/>
    <m/>
    <m/>
    <m/>
    <x v="0"/>
    <x v="0"/>
  </r>
  <r>
    <d v="2020-05-30T00:00:00"/>
    <x v="11"/>
    <n v="34681.5"/>
    <n v="3005334"/>
    <m/>
    <m/>
    <m/>
    <x v="0"/>
    <x v="0"/>
  </r>
  <r>
    <d v="2020-05-28T00:00:00"/>
    <x v="11"/>
    <n v="28197"/>
    <n v="2559211.5"/>
    <m/>
    <m/>
    <m/>
    <x v="0"/>
    <x v="0"/>
  </r>
  <r>
    <d v="2020-05-16T00:00:00"/>
    <x v="12"/>
    <n v="236551.5"/>
    <n v="23689383"/>
    <m/>
    <m/>
    <m/>
    <x v="0"/>
    <x v="1"/>
  </r>
  <r>
    <d v="2020-05-19T00:00:00"/>
    <x v="12"/>
    <n v="223597.5"/>
    <n v="21945858"/>
    <m/>
    <m/>
    <m/>
    <x v="0"/>
    <x v="2"/>
  </r>
  <r>
    <d v="2020-05-17T00:00:00"/>
    <x v="12"/>
    <n v="193363.5"/>
    <n v="19546386"/>
    <m/>
    <m/>
    <m/>
    <x v="0"/>
    <x v="1"/>
  </r>
  <r>
    <d v="2020-05-09T00:00:00"/>
    <x v="12"/>
    <n v="188319"/>
    <n v="19218631.5"/>
    <m/>
    <m/>
    <m/>
    <x v="0"/>
    <x v="3"/>
  </r>
  <r>
    <d v="2020-05-04T00:00:00"/>
    <x v="12"/>
    <n v="237544.5"/>
    <n v="24292218"/>
    <m/>
    <m/>
    <m/>
    <x v="0"/>
    <x v="3"/>
  </r>
  <r>
    <d v="2020-04-29T00:00:00"/>
    <x v="13"/>
    <n v="203209.5"/>
    <n v="20871391.5"/>
    <m/>
    <m/>
    <m/>
    <x v="0"/>
    <x v="4"/>
  </r>
  <r>
    <d v="2020-05-02T00:00:00"/>
    <x v="12"/>
    <n v="185979"/>
    <n v="19625364"/>
    <m/>
    <m/>
    <m/>
    <x v="0"/>
    <x v="4"/>
  </r>
  <r>
    <d v="2020-05-26T00:00:00"/>
    <x v="12"/>
    <n v="244905"/>
    <n v="25163431.5"/>
    <m/>
    <m/>
    <m/>
    <x v="0"/>
    <x v="0"/>
  </r>
  <r>
    <d v="2020-05-01T00:00:00"/>
    <x v="12"/>
    <n v="239409"/>
    <n v="25413351"/>
    <m/>
    <m/>
    <m/>
    <x v="0"/>
    <x v="4"/>
  </r>
  <r>
    <d v="2020-05-12T00:00:00"/>
    <x v="12"/>
    <n v="192886.5"/>
    <n v="19205179.5"/>
    <m/>
    <m/>
    <m/>
    <x v="0"/>
    <x v="1"/>
  </r>
  <r>
    <d v="2020-05-21T00:00:00"/>
    <x v="12"/>
    <n v="224233.5"/>
    <n v="22253295"/>
    <m/>
    <m/>
    <m/>
    <x v="0"/>
    <x v="2"/>
  </r>
  <r>
    <d v="2020-05-20T00:00:00"/>
    <x v="12"/>
    <n v="219622.5"/>
    <n v="21959286"/>
    <m/>
    <m/>
    <m/>
    <x v="0"/>
    <x v="2"/>
  </r>
  <r>
    <d v="2020-05-05T00:00:00"/>
    <x v="12"/>
    <n v="213582"/>
    <n v="21919435.5"/>
    <m/>
    <m/>
    <m/>
    <x v="0"/>
    <x v="3"/>
  </r>
  <r>
    <d v="2020-04-28T00:00:00"/>
    <x v="13"/>
    <n v="195705"/>
    <n v="20003263.5"/>
    <m/>
    <m/>
    <m/>
    <x v="0"/>
    <x v="4"/>
  </r>
  <r>
    <d v="2020-05-13T00:00:00"/>
    <x v="12"/>
    <n v="193722"/>
    <n v="19437273"/>
    <m/>
    <m/>
    <m/>
    <x v="0"/>
    <x v="1"/>
  </r>
  <r>
    <d v="2020-05-03T00:00:00"/>
    <x v="12"/>
    <n v="257215.5"/>
    <n v="26492278.5"/>
    <m/>
    <m/>
    <m/>
    <x v="0"/>
    <x v="4"/>
  </r>
  <r>
    <d v="2020-05-06T00:00:00"/>
    <x v="12"/>
    <n v="224779.5"/>
    <n v="23032992"/>
    <m/>
    <m/>
    <m/>
    <x v="0"/>
    <x v="3"/>
  </r>
  <r>
    <d v="2020-05-23T00:00:00"/>
    <x v="12"/>
    <n v="292018.5"/>
    <n v="28590910.5"/>
    <m/>
    <m/>
    <m/>
    <x v="0"/>
    <x v="2"/>
  </r>
  <r>
    <d v="2020-05-25T00:00:00"/>
    <x v="12"/>
    <n v="198751.5"/>
    <n v="20582743.5"/>
    <m/>
    <m/>
    <m/>
    <x v="0"/>
    <x v="0"/>
  </r>
  <r>
    <d v="2020-04-30T00:00:00"/>
    <x v="12"/>
    <n v="214386"/>
    <n v="22530000"/>
    <m/>
    <m/>
    <m/>
    <x v="0"/>
    <x v="4"/>
  </r>
  <r>
    <d v="2020-05-10T00:00:00"/>
    <x v="12"/>
    <n v="243825"/>
    <n v="24890404.5"/>
    <m/>
    <m/>
    <m/>
    <x v="0"/>
    <x v="3"/>
  </r>
  <r>
    <d v="2020-05-08T00:00:00"/>
    <x v="12"/>
    <n v="232701"/>
    <n v="23881948.5"/>
    <m/>
    <m/>
    <m/>
    <x v="0"/>
    <x v="3"/>
  </r>
  <r>
    <d v="2020-05-07T00:00:00"/>
    <x v="12"/>
    <n v="219411"/>
    <n v="22460130"/>
    <m/>
    <m/>
    <m/>
    <x v="0"/>
    <x v="3"/>
  </r>
  <r>
    <d v="2020-05-24T00:00:00"/>
    <x v="12"/>
    <n v="200029.5"/>
    <n v="19959801"/>
    <m/>
    <m/>
    <m/>
    <x v="0"/>
    <x v="2"/>
  </r>
  <r>
    <d v="2020-05-16T00:00:00"/>
    <x v="13"/>
    <n v="225480"/>
    <n v="22355338.5"/>
    <m/>
    <m/>
    <m/>
    <x v="0"/>
    <x v="1"/>
  </r>
  <r>
    <d v="2020-05-19T00:00:00"/>
    <x v="13"/>
    <n v="211453.5"/>
    <n v="20590072.5"/>
    <m/>
    <m/>
    <m/>
    <x v="0"/>
    <x v="2"/>
  </r>
  <r>
    <d v="2020-05-17T00:00:00"/>
    <x v="13"/>
    <n v="184801.5"/>
    <n v="18449091"/>
    <m/>
    <m/>
    <m/>
    <x v="0"/>
    <x v="1"/>
  </r>
  <r>
    <d v="2020-05-09T00:00:00"/>
    <x v="13"/>
    <n v="177976.5"/>
    <n v="18085798.5"/>
    <m/>
    <m/>
    <m/>
    <x v="0"/>
    <x v="3"/>
  </r>
  <r>
    <d v="2020-05-04T00:00:00"/>
    <x v="13"/>
    <n v="223617"/>
    <n v="22796827.5"/>
    <m/>
    <m/>
    <m/>
    <x v="0"/>
    <x v="3"/>
  </r>
  <r>
    <d v="2020-05-02T00:00:00"/>
    <x v="13"/>
    <n v="176397"/>
    <n v="18625921.5"/>
    <m/>
    <m/>
    <m/>
    <x v="0"/>
    <x v="4"/>
  </r>
  <r>
    <d v="2020-05-26T00:00:00"/>
    <x v="13"/>
    <n v="232369.5"/>
    <n v="23856345"/>
    <m/>
    <m/>
    <m/>
    <x v="0"/>
    <x v="0"/>
  </r>
  <r>
    <d v="2020-05-01T00:00:00"/>
    <x v="13"/>
    <n v="226540.5"/>
    <n v="23953536"/>
    <m/>
    <m/>
    <m/>
    <x v="0"/>
    <x v="4"/>
  </r>
  <r>
    <d v="2020-05-12T00:00:00"/>
    <x v="13"/>
    <n v="189679.5"/>
    <n v="18718036.5"/>
    <m/>
    <m/>
    <m/>
    <x v="0"/>
    <x v="1"/>
  </r>
  <r>
    <d v="2020-05-21T00:00:00"/>
    <x v="13"/>
    <n v="213640.5"/>
    <n v="21042673.5"/>
    <m/>
    <m/>
    <m/>
    <x v="0"/>
    <x v="2"/>
  </r>
  <r>
    <d v="2020-05-20T00:00:00"/>
    <x v="13"/>
    <n v="214885.5"/>
    <n v="21411349.5"/>
    <m/>
    <m/>
    <m/>
    <x v="0"/>
    <x v="2"/>
  </r>
  <r>
    <d v="2020-05-05T00:00:00"/>
    <x v="13"/>
    <n v="203832"/>
    <n v="20880142.5"/>
    <m/>
    <m/>
    <m/>
    <x v="0"/>
    <x v="3"/>
  </r>
  <r>
    <d v="2020-05-13T00:00:00"/>
    <x v="13"/>
    <n v="188662.5"/>
    <n v="18784000.5"/>
    <m/>
    <m/>
    <m/>
    <x v="0"/>
    <x v="1"/>
  </r>
  <r>
    <d v="2020-05-31T00:00:00"/>
    <x v="12"/>
    <n v="215277"/>
    <n v="21585316.5"/>
    <m/>
    <m/>
    <m/>
    <x v="0"/>
    <x v="0"/>
  </r>
  <r>
    <d v="2020-05-03T00:00:00"/>
    <x v="13"/>
    <n v="248148"/>
    <n v="25519072.5"/>
    <m/>
    <m/>
    <m/>
    <x v="0"/>
    <x v="4"/>
  </r>
  <r>
    <d v="2020-05-30T00:00:00"/>
    <x v="12"/>
    <n v="246414"/>
    <n v="24527245.5"/>
    <m/>
    <m/>
    <m/>
    <x v="0"/>
    <x v="0"/>
  </r>
  <r>
    <d v="2020-05-06T00:00:00"/>
    <x v="13"/>
    <n v="216498"/>
    <n v="22126444.5"/>
    <m/>
    <m/>
    <m/>
    <x v="0"/>
    <x v="3"/>
  </r>
  <r>
    <d v="2020-05-23T00:00:00"/>
    <x v="13"/>
    <n v="275793"/>
    <n v="26806626"/>
    <m/>
    <m/>
    <m/>
    <x v="0"/>
    <x v="2"/>
  </r>
  <r>
    <d v="2020-05-28T00:00:00"/>
    <x v="12"/>
    <n v="199753.5"/>
    <n v="20535733.5"/>
    <m/>
    <m/>
    <m/>
    <x v="0"/>
    <x v="0"/>
  </r>
  <r>
    <d v="2020-05-25T00:00:00"/>
    <x v="13"/>
    <n v="192948"/>
    <n v="19806927"/>
    <m/>
    <m/>
    <m/>
    <x v="0"/>
    <x v="0"/>
  </r>
  <r>
    <d v="2020-04-30T00:00:00"/>
    <x v="13"/>
    <n v="206038.5"/>
    <n v="21740460"/>
    <m/>
    <m/>
    <m/>
    <x v="0"/>
    <x v="4"/>
  </r>
  <r>
    <d v="2020-05-10T00:00:00"/>
    <x v="13"/>
    <n v="231559.5"/>
    <n v="23443725"/>
    <m/>
    <m/>
    <m/>
    <x v="0"/>
    <x v="3"/>
  </r>
  <r>
    <d v="2020-05-08T00:00:00"/>
    <x v="13"/>
    <n v="225076.5"/>
    <n v="22846078.5"/>
    <m/>
    <m/>
    <m/>
    <x v="0"/>
    <x v="3"/>
  </r>
  <r>
    <d v="2020-05-07T00:00:00"/>
    <x v="13"/>
    <n v="209415"/>
    <n v="21463023"/>
    <m/>
    <m/>
    <m/>
    <x v="0"/>
    <x v="3"/>
  </r>
  <r>
    <d v="2020-05-24T00:00:00"/>
    <x v="13"/>
    <n v="193719"/>
    <n v="19071117"/>
    <m/>
    <m/>
    <m/>
    <x v="0"/>
    <x v="2"/>
  </r>
  <r>
    <d v="2020-04-29T00:00:00"/>
    <x v="14"/>
    <n v="12250.5"/>
    <n v="981519"/>
    <m/>
    <m/>
    <m/>
    <x v="0"/>
    <x v="4"/>
  </r>
  <r>
    <d v="2020-04-28T00:00:00"/>
    <x v="14"/>
    <n v="12541.5"/>
    <n v="992541"/>
    <m/>
    <m/>
    <m/>
    <x v="0"/>
    <x v="4"/>
  </r>
  <r>
    <d v="2020-05-31T00:00:00"/>
    <x v="13"/>
    <n v="206758.5"/>
    <n v="20717248.5"/>
    <m/>
    <m/>
    <m/>
    <x v="0"/>
    <x v="0"/>
  </r>
  <r>
    <d v="2020-05-30T00:00:00"/>
    <x v="13"/>
    <n v="244734"/>
    <n v="24151980"/>
    <m/>
    <m/>
    <m/>
    <x v="0"/>
    <x v="0"/>
  </r>
  <r>
    <d v="2020-05-28T00:00:00"/>
    <x v="13"/>
    <n v="191641.5"/>
    <n v="19549036.5"/>
    <m/>
    <m/>
    <m/>
    <x v="0"/>
    <x v="0"/>
  </r>
  <r>
    <d v="2020-05-16T00:00:00"/>
    <x v="14"/>
    <n v="16368"/>
    <n v="1316350.5"/>
    <m/>
    <m/>
    <m/>
    <x v="0"/>
    <x v="1"/>
  </r>
  <r>
    <d v="2020-05-19T00:00:00"/>
    <x v="14"/>
    <n v="14427"/>
    <n v="1126810.5"/>
    <m/>
    <m/>
    <m/>
    <x v="0"/>
    <x v="2"/>
  </r>
  <r>
    <d v="2020-05-17T00:00:00"/>
    <x v="14"/>
    <n v="13440"/>
    <n v="1157529"/>
    <m/>
    <m/>
    <m/>
    <x v="0"/>
    <x v="1"/>
  </r>
  <r>
    <d v="2020-05-09T00:00:00"/>
    <x v="14"/>
    <n v="11745"/>
    <n v="955801.5"/>
    <m/>
    <m/>
    <m/>
    <x v="0"/>
    <x v="3"/>
  </r>
  <r>
    <d v="2020-05-04T00:00:00"/>
    <x v="14"/>
    <n v="11062.5"/>
    <n v="906343.5"/>
    <m/>
    <m/>
    <m/>
    <x v="0"/>
    <x v="3"/>
  </r>
  <r>
    <d v="2020-05-02T00:00:00"/>
    <x v="14"/>
    <n v="10018.5"/>
    <n v="816859.5"/>
    <m/>
    <m/>
    <m/>
    <x v="0"/>
    <x v="4"/>
  </r>
  <r>
    <d v="2020-05-26T00:00:00"/>
    <x v="15"/>
    <n v="10437"/>
    <n v="833815.5"/>
    <m/>
    <m/>
    <m/>
    <x v="0"/>
    <x v="0"/>
  </r>
  <r>
    <d v="2020-05-01T00:00:00"/>
    <x v="14"/>
    <n v="13644"/>
    <n v="1134444"/>
    <m/>
    <m/>
    <m/>
    <x v="0"/>
    <x v="4"/>
  </r>
  <r>
    <d v="2020-05-12T00:00:00"/>
    <x v="14"/>
    <n v="13443"/>
    <n v="1092277.5"/>
    <m/>
    <m/>
    <m/>
    <x v="0"/>
    <x v="1"/>
  </r>
  <r>
    <d v="2020-05-21T00:00:00"/>
    <x v="14"/>
    <n v="14182.5"/>
    <n v="1172574"/>
    <m/>
    <m/>
    <m/>
    <x v="0"/>
    <x v="2"/>
  </r>
  <r>
    <d v="2020-05-20T00:00:00"/>
    <x v="14"/>
    <n v="14928"/>
    <n v="1217749.5"/>
    <m/>
    <m/>
    <m/>
    <x v="0"/>
    <x v="2"/>
  </r>
  <r>
    <d v="2020-05-05T00:00:00"/>
    <x v="14"/>
    <n v="13941"/>
    <n v="1145575.5"/>
    <m/>
    <m/>
    <m/>
    <x v="0"/>
    <x v="3"/>
  </r>
  <r>
    <d v="2020-05-13T00:00:00"/>
    <x v="14"/>
    <n v="14643"/>
    <n v="1172691"/>
    <m/>
    <m/>
    <m/>
    <x v="0"/>
    <x v="1"/>
  </r>
  <r>
    <d v="2020-05-03T00:00:00"/>
    <x v="14"/>
    <n v="10032"/>
    <n v="816150"/>
    <m/>
    <m/>
    <m/>
    <x v="0"/>
    <x v="4"/>
  </r>
  <r>
    <d v="2020-05-06T00:00:00"/>
    <x v="14"/>
    <n v="12468"/>
    <n v="1016566.5"/>
    <m/>
    <m/>
    <m/>
    <x v="0"/>
    <x v="3"/>
  </r>
  <r>
    <d v="2020-05-23T00:00:00"/>
    <x v="14"/>
    <n v="17943"/>
    <n v="1457391"/>
    <m/>
    <m/>
    <m/>
    <x v="0"/>
    <x v="2"/>
  </r>
  <r>
    <d v="2020-05-25T00:00:00"/>
    <x v="14"/>
    <n v="15807"/>
    <n v="1326705"/>
    <m/>
    <m/>
    <m/>
    <x v="0"/>
    <x v="0"/>
  </r>
  <r>
    <d v="2020-04-30T00:00:00"/>
    <x v="14"/>
    <n v="11976"/>
    <n v="1004511"/>
    <m/>
    <m/>
    <m/>
    <x v="0"/>
    <x v="4"/>
  </r>
  <r>
    <d v="2020-05-10T00:00:00"/>
    <x v="14"/>
    <n v="14566.5"/>
    <n v="1216557"/>
    <m/>
    <m/>
    <m/>
    <x v="0"/>
    <x v="3"/>
  </r>
  <r>
    <d v="2020-05-08T00:00:00"/>
    <x v="14"/>
    <n v="12976.5"/>
    <n v="1046848.5"/>
    <m/>
    <m/>
    <m/>
    <x v="0"/>
    <x v="3"/>
  </r>
  <r>
    <d v="2020-05-07T00:00:00"/>
    <x v="14"/>
    <n v="11719.5"/>
    <n v="965880"/>
    <m/>
    <m/>
    <m/>
    <x v="0"/>
    <x v="3"/>
  </r>
  <r>
    <d v="2020-05-24T00:00:00"/>
    <x v="14"/>
    <n v="17197.5"/>
    <n v="1386262.5"/>
    <m/>
    <m/>
    <m/>
    <x v="0"/>
    <x v="2"/>
  </r>
  <r>
    <d v="2020-05-26T00:00:00"/>
    <x v="14"/>
    <n v="14419.5"/>
    <n v="1210456.5"/>
    <m/>
    <m/>
    <m/>
    <x v="0"/>
    <x v="0"/>
  </r>
  <r>
    <d v="2020-06-01T00:00:00"/>
    <x v="0"/>
    <n v="7816.5"/>
    <n v="636345"/>
    <m/>
    <m/>
    <m/>
    <x v="0"/>
    <x v="5"/>
  </r>
  <r>
    <d v="2020-05-31T00:00:00"/>
    <x v="16"/>
    <n v="6409.5"/>
    <n v="493893"/>
    <m/>
    <m/>
    <m/>
    <x v="0"/>
    <x v="0"/>
  </r>
  <r>
    <d v="2020-05-30T00:00:00"/>
    <x v="15"/>
    <n v="11220"/>
    <n v="928675.5"/>
    <m/>
    <m/>
    <m/>
    <x v="0"/>
    <x v="0"/>
  </r>
  <r>
    <d v="2020-05-29T00:00:00"/>
    <x v="0"/>
    <n v="8350.5"/>
    <n v="651237"/>
    <m/>
    <m/>
    <m/>
    <x v="0"/>
    <x v="0"/>
  </r>
  <r>
    <d v="2020-05-28T00:00:00"/>
    <x v="15"/>
    <n v="8428.5"/>
    <n v="694669.5"/>
    <m/>
    <m/>
    <m/>
    <x v="0"/>
    <x v="0"/>
  </r>
  <r>
    <d v="2020-05-27T00:00:00"/>
    <x v="1"/>
    <n v="32817"/>
    <n v="3015751.5"/>
    <m/>
    <m/>
    <m/>
    <x v="0"/>
    <x v="0"/>
  </r>
  <r>
    <d v="2020-05-22T00:00:00"/>
    <x v="1"/>
    <n v="36031.5"/>
    <n v="3091069.5"/>
    <m/>
    <m/>
    <m/>
    <x v="0"/>
    <x v="2"/>
  </r>
  <r>
    <d v="2020-05-31T00:00:00"/>
    <x v="17"/>
    <n v="5127"/>
    <n v="468835.5"/>
    <m/>
    <m/>
    <m/>
    <x v="0"/>
    <x v="0"/>
  </r>
  <r>
    <d v="2020-05-11T00:00:00"/>
    <x v="1"/>
    <n v="27187.5"/>
    <n v="2479396.5"/>
    <m/>
    <m/>
    <m/>
    <x v="0"/>
    <x v="1"/>
  </r>
  <r>
    <d v="2020-05-30T00:00:00"/>
    <x v="14"/>
    <n v="20688"/>
    <n v="1773154.5"/>
    <m/>
    <m/>
    <m/>
    <x v="0"/>
    <x v="0"/>
  </r>
  <r>
    <d v="2020-05-28T00:00:00"/>
    <x v="14"/>
    <n v="15678"/>
    <n v="1387443"/>
    <m/>
    <m/>
    <m/>
    <x v="0"/>
    <x v="0"/>
  </r>
  <r>
    <d v="2020-05-18T00:00:00"/>
    <x v="1"/>
    <n v="31329"/>
    <n v="2826379.5"/>
    <m/>
    <m/>
    <m/>
    <x v="0"/>
    <x v="2"/>
  </r>
  <r>
    <d v="2020-05-14T00:00:00"/>
    <x v="1"/>
    <n v="29658"/>
    <n v="2703132"/>
    <m/>
    <m/>
    <m/>
    <x v="0"/>
    <x v="1"/>
  </r>
  <r>
    <d v="2020-05-15T00:00:00"/>
    <x v="1"/>
    <n v="34150.5"/>
    <n v="3038293.5"/>
    <m/>
    <m/>
    <m/>
    <x v="0"/>
    <x v="1"/>
  </r>
  <r>
    <d v="2020-06-01T00:00:00"/>
    <x v="1"/>
    <n v="31947"/>
    <n v="2945035.5"/>
    <m/>
    <m/>
    <m/>
    <x v="0"/>
    <x v="5"/>
  </r>
  <r>
    <d v="2020-05-31T00:00:00"/>
    <x v="15"/>
    <n v="10416"/>
    <n v="866023.5"/>
    <m/>
    <m/>
    <m/>
    <x v="0"/>
    <x v="0"/>
  </r>
  <r>
    <d v="2020-05-29T00:00:00"/>
    <x v="1"/>
    <n v="35431.5"/>
    <n v="3193167"/>
    <m/>
    <m/>
    <m/>
    <x v="0"/>
    <x v="0"/>
  </r>
  <r>
    <d v="2020-05-27T00:00:00"/>
    <x v="2"/>
    <n v="78544.5"/>
    <n v="6701083.5"/>
    <m/>
    <m/>
    <m/>
    <x v="0"/>
    <x v="0"/>
  </r>
  <r>
    <d v="2020-05-22T00:00:00"/>
    <x v="2"/>
    <n v="97963.5"/>
    <n v="7728465"/>
    <m/>
    <m/>
    <m/>
    <x v="0"/>
    <x v="2"/>
  </r>
  <r>
    <d v="2020-06-01T00:00:00"/>
    <x v="2"/>
    <n v="77269.5"/>
    <n v="6829921.5"/>
    <m/>
    <m/>
    <m/>
    <x v="0"/>
    <x v="5"/>
  </r>
  <r>
    <d v="2020-05-31T00:00:00"/>
    <x v="14"/>
    <n v="16143"/>
    <n v="1423410"/>
    <m/>
    <m/>
    <m/>
    <x v="0"/>
    <x v="0"/>
  </r>
  <r>
    <d v="2020-05-11T00:00:00"/>
    <x v="2"/>
    <n v="72220.5"/>
    <n v="6398719.5"/>
    <m/>
    <m/>
    <m/>
    <x v="0"/>
    <x v="1"/>
  </r>
  <r>
    <d v="2020-05-18T00:00:00"/>
    <x v="2"/>
    <n v="78058.5"/>
    <n v="6609714"/>
    <m/>
    <m/>
    <m/>
    <x v="0"/>
    <x v="2"/>
  </r>
  <r>
    <d v="2020-05-14T00:00:00"/>
    <x v="2"/>
    <n v="70498.5"/>
    <n v="6053649"/>
    <m/>
    <m/>
    <m/>
    <x v="0"/>
    <x v="1"/>
  </r>
  <r>
    <d v="2020-05-15T00:00:00"/>
    <x v="2"/>
    <n v="78961.5"/>
    <n v="6876454.5"/>
    <m/>
    <m/>
    <m/>
    <x v="0"/>
    <x v="1"/>
  </r>
  <r>
    <d v="2020-05-27T00:00:00"/>
    <x v="3"/>
    <n v="12490.5"/>
    <n v="1054798.5"/>
    <m/>
    <m/>
    <m/>
    <x v="0"/>
    <x v="0"/>
  </r>
  <r>
    <d v="2020-05-22T00:00:00"/>
    <x v="3"/>
    <n v="18036"/>
    <n v="1455049.5"/>
    <m/>
    <m/>
    <m/>
    <x v="0"/>
    <x v="2"/>
  </r>
  <r>
    <d v="2020-06-01T00:00:00"/>
    <x v="3"/>
    <n v="11416.5"/>
    <n v="1007742"/>
    <m/>
    <m/>
    <m/>
    <x v="0"/>
    <x v="5"/>
  </r>
  <r>
    <d v="2020-05-11T00:00:00"/>
    <x v="3"/>
    <n v="9007.5"/>
    <n v="734335.5"/>
    <m/>
    <m/>
    <m/>
    <x v="0"/>
    <x v="1"/>
  </r>
  <r>
    <d v="2020-05-29T00:00:00"/>
    <x v="2"/>
    <n v="87552"/>
    <n v="7387116"/>
    <m/>
    <m/>
    <m/>
    <x v="0"/>
    <x v="0"/>
  </r>
  <r>
    <d v="2020-05-18T00:00:00"/>
    <x v="3"/>
    <n v="11680.5"/>
    <n v="936427.5"/>
    <m/>
    <m/>
    <m/>
    <x v="0"/>
    <x v="2"/>
  </r>
  <r>
    <d v="2020-05-14T00:00:00"/>
    <x v="3"/>
    <n v="12037.5"/>
    <n v="981564"/>
    <m/>
    <m/>
    <m/>
    <x v="0"/>
    <x v="1"/>
  </r>
  <r>
    <d v="2020-05-15T00:00:00"/>
    <x v="3"/>
    <n v="14421"/>
    <n v="1150579.5"/>
    <m/>
    <m/>
    <m/>
    <x v="0"/>
    <x v="1"/>
  </r>
  <r>
    <d v="2020-05-29T00:00:00"/>
    <x v="3"/>
    <n v="14823"/>
    <n v="1273464"/>
    <m/>
    <m/>
    <m/>
    <x v="0"/>
    <x v="0"/>
  </r>
  <r>
    <d v="2020-05-27T00:00:00"/>
    <x v="4"/>
    <n v="31257"/>
    <n v="2924133"/>
    <m/>
    <m/>
    <m/>
    <x v="0"/>
    <x v="0"/>
  </r>
  <r>
    <d v="2020-05-22T00:00:00"/>
    <x v="4"/>
    <n v="38074.5"/>
    <n v="3414180"/>
    <m/>
    <m/>
    <m/>
    <x v="0"/>
    <x v="2"/>
  </r>
  <r>
    <d v="2020-06-01T00:00:00"/>
    <x v="4"/>
    <n v="32170.5"/>
    <n v="3013512"/>
    <m/>
    <m/>
    <m/>
    <x v="0"/>
    <x v="5"/>
  </r>
  <r>
    <d v="2020-05-11T00:00:00"/>
    <x v="4"/>
    <n v="42397.5"/>
    <n v="3911979"/>
    <m/>
    <m/>
    <m/>
    <x v="0"/>
    <x v="1"/>
  </r>
  <r>
    <d v="2020-05-18T00:00:00"/>
    <x v="4"/>
    <n v="28668"/>
    <n v="2588148"/>
    <m/>
    <m/>
    <m/>
    <x v="0"/>
    <x v="2"/>
  </r>
  <r>
    <d v="2020-05-14T00:00:00"/>
    <x v="4"/>
    <n v="27411"/>
    <n v="2441520"/>
    <m/>
    <m/>
    <m/>
    <x v="0"/>
    <x v="1"/>
  </r>
  <r>
    <d v="2020-05-15T00:00:00"/>
    <x v="4"/>
    <n v="32854.5"/>
    <n v="2949078"/>
    <m/>
    <m/>
    <m/>
    <x v="0"/>
    <x v="1"/>
  </r>
  <r>
    <d v="2020-05-29T00:00:00"/>
    <x v="4"/>
    <n v="35346"/>
    <n v="3258054"/>
    <m/>
    <m/>
    <m/>
    <x v="0"/>
    <x v="0"/>
  </r>
  <r>
    <d v="2020-05-27T00:00:00"/>
    <x v="5"/>
    <n v="286558.5"/>
    <n v="29256993"/>
    <m/>
    <m/>
    <m/>
    <x v="0"/>
    <x v="0"/>
  </r>
  <r>
    <d v="2020-05-22T00:00:00"/>
    <x v="5"/>
    <n v="304092"/>
    <n v="29465769"/>
    <m/>
    <m/>
    <m/>
    <x v="0"/>
    <x v="2"/>
  </r>
  <r>
    <d v="2020-06-01T00:00:00"/>
    <x v="5"/>
    <n v="272926.5"/>
    <n v="27770092.5"/>
    <m/>
    <m/>
    <m/>
    <x v="0"/>
    <x v="5"/>
  </r>
  <r>
    <d v="2020-05-11T00:00:00"/>
    <x v="5"/>
    <n v="237099"/>
    <n v="24628233.223949999"/>
    <m/>
    <m/>
    <m/>
    <x v="0"/>
    <x v="1"/>
  </r>
  <r>
    <d v="2020-05-18T00:00:00"/>
    <x v="5"/>
    <n v="273900"/>
    <n v="27535284.147600003"/>
    <m/>
    <m/>
    <m/>
    <x v="0"/>
    <x v="2"/>
  </r>
  <r>
    <d v="2020-05-14T00:00:00"/>
    <x v="5"/>
    <n v="274059"/>
    <n v="28181292"/>
    <m/>
    <m/>
    <m/>
    <x v="0"/>
    <x v="1"/>
  </r>
  <r>
    <d v="2020-05-15T00:00:00"/>
    <x v="5"/>
    <n v="318816"/>
    <n v="32354331"/>
    <m/>
    <m/>
    <m/>
    <x v="0"/>
    <x v="1"/>
  </r>
  <r>
    <d v="2020-05-27T00:00:00"/>
    <x v="6"/>
    <n v="370012.5"/>
    <n v="39034861.5"/>
    <m/>
    <m/>
    <m/>
    <x v="0"/>
    <x v="0"/>
  </r>
  <r>
    <d v="2020-05-22T00:00:00"/>
    <x v="6"/>
    <n v="393018"/>
    <n v="39498373.5"/>
    <m/>
    <m/>
    <m/>
    <x v="0"/>
    <x v="2"/>
  </r>
  <r>
    <d v="2020-06-01T00:00:00"/>
    <x v="6"/>
    <n v="349699.5"/>
    <n v="37257840.18135"/>
    <m/>
    <m/>
    <m/>
    <x v="0"/>
    <x v="5"/>
  </r>
  <r>
    <d v="2020-05-11T00:00:00"/>
    <x v="6"/>
    <n v="318565.5"/>
    <n v="33781581"/>
    <m/>
    <m/>
    <m/>
    <x v="0"/>
    <x v="1"/>
  </r>
  <r>
    <d v="2020-05-29T00:00:00"/>
    <x v="5"/>
    <n v="422965.5"/>
    <n v="41767140.105000004"/>
    <m/>
    <m/>
    <m/>
    <x v="0"/>
    <x v="0"/>
  </r>
  <r>
    <d v="2020-05-18T00:00:00"/>
    <x v="6"/>
    <n v="355081.5"/>
    <n v="36876888"/>
    <m/>
    <m/>
    <m/>
    <x v="0"/>
    <x v="2"/>
  </r>
  <r>
    <d v="2020-05-14T00:00:00"/>
    <x v="6"/>
    <n v="358387.5"/>
    <n v="37963150.5"/>
    <m/>
    <m/>
    <m/>
    <x v="0"/>
    <x v="1"/>
  </r>
  <r>
    <d v="2020-05-15T00:00:00"/>
    <x v="6"/>
    <n v="403261.5"/>
    <n v="42271377"/>
    <m/>
    <m/>
    <m/>
    <x v="0"/>
    <x v="1"/>
  </r>
  <r>
    <d v="2020-05-27T00:00:00"/>
    <x v="7"/>
    <n v="69010.5"/>
    <n v="5985894"/>
    <m/>
    <m/>
    <m/>
    <x v="0"/>
    <x v="0"/>
  </r>
  <r>
    <d v="2020-05-22T00:00:00"/>
    <x v="7"/>
    <n v="75820.5"/>
    <n v="5943489"/>
    <m/>
    <m/>
    <m/>
    <x v="0"/>
    <x v="2"/>
  </r>
  <r>
    <d v="2020-06-01T00:00:00"/>
    <x v="7"/>
    <n v="64740"/>
    <n v="5800290"/>
    <m/>
    <m/>
    <m/>
    <x v="0"/>
    <x v="5"/>
  </r>
  <r>
    <d v="2020-05-11T00:00:00"/>
    <x v="7"/>
    <n v="59574"/>
    <n v="5178169.5"/>
    <m/>
    <m/>
    <m/>
    <x v="0"/>
    <x v="1"/>
  </r>
  <r>
    <d v="2020-05-29T00:00:00"/>
    <x v="6"/>
    <n v="524481"/>
    <n v="54172029"/>
    <m/>
    <m/>
    <m/>
    <x v="0"/>
    <x v="0"/>
  </r>
  <r>
    <d v="2020-05-18T00:00:00"/>
    <x v="7"/>
    <n v="70278"/>
    <n v="5798476.5"/>
    <m/>
    <m/>
    <m/>
    <x v="0"/>
    <x v="2"/>
  </r>
  <r>
    <d v="2020-05-14T00:00:00"/>
    <x v="7"/>
    <n v="63645"/>
    <n v="5366602.5"/>
    <m/>
    <m/>
    <m/>
    <x v="0"/>
    <x v="1"/>
  </r>
  <r>
    <d v="2020-05-15T00:00:00"/>
    <x v="7"/>
    <n v="75642"/>
    <n v="6293952"/>
    <m/>
    <m/>
    <m/>
    <x v="0"/>
    <x v="1"/>
  </r>
  <r>
    <d v="2020-05-27T00:00:00"/>
    <x v="8"/>
    <n v="40420.5"/>
    <n v="3780852"/>
    <m/>
    <m/>
    <m/>
    <x v="0"/>
    <x v="0"/>
  </r>
  <r>
    <d v="2020-05-22T00:00:00"/>
    <x v="8"/>
    <n v="53838"/>
    <n v="4840833"/>
    <m/>
    <m/>
    <m/>
    <x v="0"/>
    <x v="2"/>
  </r>
  <r>
    <d v="2020-06-01T00:00:00"/>
    <x v="8"/>
    <n v="40528.5"/>
    <n v="3865251"/>
    <m/>
    <m/>
    <m/>
    <x v="0"/>
    <x v="5"/>
  </r>
  <r>
    <d v="2020-05-11T00:00:00"/>
    <x v="8"/>
    <n v="32733"/>
    <n v="3079630.5"/>
    <m/>
    <m/>
    <m/>
    <x v="0"/>
    <x v="1"/>
  </r>
  <r>
    <d v="2020-05-29T00:00:00"/>
    <x v="7"/>
    <n v="84433.5"/>
    <n v="7228395"/>
    <m/>
    <m/>
    <m/>
    <x v="0"/>
    <x v="0"/>
  </r>
  <r>
    <d v="2020-05-18T00:00:00"/>
    <x v="8"/>
    <n v="36655.5"/>
    <n v="3360135"/>
    <m/>
    <m/>
    <m/>
    <x v="0"/>
    <x v="2"/>
  </r>
  <r>
    <d v="2020-05-14T00:00:00"/>
    <x v="8"/>
    <n v="33886.5"/>
    <n v="3166479"/>
    <m/>
    <m/>
    <m/>
    <x v="0"/>
    <x v="1"/>
  </r>
  <r>
    <d v="2020-05-15T00:00:00"/>
    <x v="8"/>
    <n v="41697"/>
    <n v="3772258.5"/>
    <m/>
    <m/>
    <m/>
    <x v="0"/>
    <x v="1"/>
  </r>
  <r>
    <d v="2020-05-29T00:00:00"/>
    <x v="8"/>
    <n v="44569.5"/>
    <n v="4108596"/>
    <m/>
    <m/>
    <m/>
    <x v="0"/>
    <x v="0"/>
  </r>
  <r>
    <d v="2020-05-27T00:00:00"/>
    <x v="9"/>
    <n v="18069"/>
    <n v="1603084.5"/>
    <m/>
    <m/>
    <m/>
    <x v="0"/>
    <x v="0"/>
  </r>
  <r>
    <d v="2020-05-22T00:00:00"/>
    <x v="9"/>
    <n v="21483"/>
    <n v="1774329"/>
    <m/>
    <m/>
    <m/>
    <x v="0"/>
    <x v="2"/>
  </r>
  <r>
    <d v="2020-06-01T00:00:00"/>
    <x v="9"/>
    <n v="16687.5"/>
    <n v="1526608.5"/>
    <m/>
    <m/>
    <m/>
    <x v="0"/>
    <x v="5"/>
  </r>
  <r>
    <d v="2020-05-11T00:00:00"/>
    <x v="9"/>
    <n v="12238.5"/>
    <n v="1096002"/>
    <m/>
    <m/>
    <m/>
    <x v="0"/>
    <x v="1"/>
  </r>
  <r>
    <d v="2020-05-18T00:00:00"/>
    <x v="9"/>
    <n v="14290.5"/>
    <n v="1246162.5"/>
    <m/>
    <m/>
    <m/>
    <x v="0"/>
    <x v="2"/>
  </r>
  <r>
    <d v="2020-05-14T00:00:00"/>
    <x v="9"/>
    <n v="14385"/>
    <n v="1223491.5"/>
    <m/>
    <m/>
    <m/>
    <x v="0"/>
    <x v="1"/>
  </r>
  <r>
    <d v="2020-05-15T00:00:00"/>
    <x v="9"/>
    <n v="16498.5"/>
    <n v="1370482.5"/>
    <m/>
    <m/>
    <m/>
    <x v="0"/>
    <x v="1"/>
  </r>
  <r>
    <d v="2020-05-27T00:00:00"/>
    <x v="10"/>
    <n v="13203"/>
    <n v="1211457"/>
    <m/>
    <m/>
    <m/>
    <x v="0"/>
    <x v="0"/>
  </r>
  <r>
    <d v="2020-05-22T00:00:00"/>
    <x v="10"/>
    <n v="15802.5"/>
    <n v="1411909.5"/>
    <m/>
    <m/>
    <m/>
    <x v="0"/>
    <x v="2"/>
  </r>
  <r>
    <d v="2020-06-01T00:00:00"/>
    <x v="10"/>
    <n v="16476"/>
    <n v="1565632.5"/>
    <m/>
    <m/>
    <m/>
    <x v="0"/>
    <x v="5"/>
  </r>
  <r>
    <d v="2020-05-11T00:00:00"/>
    <x v="10"/>
    <n v="12654"/>
    <n v="1081158"/>
    <m/>
    <m/>
    <m/>
    <x v="0"/>
    <x v="1"/>
  </r>
  <r>
    <d v="2020-05-29T00:00:00"/>
    <x v="9"/>
    <n v="19647"/>
    <n v="1764669"/>
    <m/>
    <m/>
    <m/>
    <x v="0"/>
    <x v="0"/>
  </r>
  <r>
    <d v="2020-05-18T00:00:00"/>
    <x v="10"/>
    <n v="12450"/>
    <n v="1115146.5"/>
    <m/>
    <m/>
    <m/>
    <x v="0"/>
    <x v="2"/>
  </r>
  <r>
    <d v="2020-05-14T00:00:00"/>
    <x v="10"/>
    <n v="11161.5"/>
    <n v="963502.5"/>
    <m/>
    <m/>
    <m/>
    <x v="0"/>
    <x v="1"/>
  </r>
  <r>
    <d v="2020-05-15T00:00:00"/>
    <x v="10"/>
    <n v="12229.5"/>
    <n v="1122730.5"/>
    <m/>
    <m/>
    <m/>
    <x v="0"/>
    <x v="1"/>
  </r>
  <r>
    <d v="2020-05-27T00:00:00"/>
    <x v="11"/>
    <n v="28050"/>
    <n v="2458555.5"/>
    <m/>
    <m/>
    <m/>
    <x v="0"/>
    <x v="0"/>
  </r>
  <r>
    <d v="2020-05-22T00:00:00"/>
    <x v="11"/>
    <n v="30781.5"/>
    <n v="2540715"/>
    <m/>
    <m/>
    <m/>
    <x v="0"/>
    <x v="2"/>
  </r>
  <r>
    <d v="2020-06-01T00:00:00"/>
    <x v="11"/>
    <n v="27960"/>
    <n v="2538967.5"/>
    <m/>
    <m/>
    <m/>
    <x v="0"/>
    <x v="5"/>
  </r>
  <r>
    <d v="2020-05-11T00:00:00"/>
    <x v="11"/>
    <n v="23629.5"/>
    <n v="2164365"/>
    <m/>
    <m/>
    <m/>
    <x v="0"/>
    <x v="1"/>
  </r>
  <r>
    <d v="2020-05-29T00:00:00"/>
    <x v="10"/>
    <n v="17052"/>
    <n v="1549020"/>
    <m/>
    <m/>
    <m/>
    <x v="0"/>
    <x v="0"/>
  </r>
  <r>
    <d v="2020-05-18T00:00:00"/>
    <x v="11"/>
    <n v="27181.5"/>
    <n v="2324490"/>
    <m/>
    <m/>
    <m/>
    <x v="0"/>
    <x v="2"/>
  </r>
  <r>
    <d v="2020-05-14T00:00:00"/>
    <x v="11"/>
    <n v="25656"/>
    <n v="2225341.5"/>
    <m/>
    <m/>
    <m/>
    <x v="0"/>
    <x v="1"/>
  </r>
  <r>
    <d v="2020-05-15T00:00:00"/>
    <x v="11"/>
    <n v="29283"/>
    <n v="2477487"/>
    <m/>
    <m/>
    <m/>
    <x v="0"/>
    <x v="1"/>
  </r>
  <r>
    <d v="2020-05-29T00:00:00"/>
    <x v="11"/>
    <n v="32782.5"/>
    <n v="2854741.5"/>
    <m/>
    <m/>
    <m/>
    <x v="0"/>
    <x v="0"/>
  </r>
  <r>
    <d v="2020-05-27T00:00:00"/>
    <x v="12"/>
    <n v="215592"/>
    <n v="22342300.5"/>
    <m/>
    <m/>
    <m/>
    <x v="0"/>
    <x v="0"/>
  </r>
  <r>
    <d v="2020-05-22T00:00:00"/>
    <x v="12"/>
    <n v="228334.5"/>
    <n v="22380772.5"/>
    <m/>
    <m/>
    <m/>
    <x v="0"/>
    <x v="2"/>
  </r>
  <r>
    <d v="2020-06-01T00:00:00"/>
    <x v="12"/>
    <n v="188776.5"/>
    <n v="19465372.5"/>
    <m/>
    <m/>
    <m/>
    <x v="0"/>
    <x v="5"/>
  </r>
  <r>
    <d v="2020-05-11T00:00:00"/>
    <x v="12"/>
    <n v="175293"/>
    <n v="17919144"/>
    <m/>
    <m/>
    <m/>
    <x v="0"/>
    <x v="1"/>
  </r>
  <r>
    <d v="2020-05-18T00:00:00"/>
    <x v="12"/>
    <n v="201999"/>
    <n v="20422435.5"/>
    <m/>
    <m/>
    <m/>
    <x v="0"/>
    <x v="2"/>
  </r>
  <r>
    <d v="2020-05-14T00:00:00"/>
    <x v="12"/>
    <n v="197946"/>
    <n v="19942435.5"/>
    <m/>
    <m/>
    <m/>
    <x v="0"/>
    <x v="1"/>
  </r>
  <r>
    <d v="2020-05-15T00:00:00"/>
    <x v="12"/>
    <n v="230896.5"/>
    <n v="23085222"/>
    <m/>
    <m/>
    <m/>
    <x v="0"/>
    <x v="1"/>
  </r>
  <r>
    <d v="2020-05-27T00:00:00"/>
    <x v="13"/>
    <n v="203532"/>
    <n v="20953324.5"/>
    <m/>
    <m/>
    <m/>
    <x v="0"/>
    <x v="0"/>
  </r>
  <r>
    <d v="2020-05-22T00:00:00"/>
    <x v="13"/>
    <n v="214428"/>
    <n v="20812585.5"/>
    <m/>
    <m/>
    <m/>
    <x v="0"/>
    <x v="2"/>
  </r>
  <r>
    <d v="2020-06-01T00:00:00"/>
    <x v="13"/>
    <n v="183228"/>
    <n v="18914194.5"/>
    <m/>
    <m/>
    <m/>
    <x v="0"/>
    <x v="5"/>
  </r>
  <r>
    <d v="2020-05-11T00:00:00"/>
    <x v="13"/>
    <n v="166948.5"/>
    <n v="16971231"/>
    <m/>
    <m/>
    <m/>
    <x v="0"/>
    <x v="1"/>
  </r>
  <r>
    <d v="2020-05-29T00:00:00"/>
    <x v="12"/>
    <n v="232102.5"/>
    <n v="23120443.5"/>
    <m/>
    <m/>
    <m/>
    <x v="0"/>
    <x v="0"/>
  </r>
  <r>
    <d v="2020-05-18T00:00:00"/>
    <x v="13"/>
    <n v="196560"/>
    <n v="19855122"/>
    <m/>
    <m/>
    <m/>
    <x v="0"/>
    <x v="2"/>
  </r>
  <r>
    <d v="2020-05-14T00:00:00"/>
    <x v="13"/>
    <n v="186496.5"/>
    <n v="18640998"/>
    <m/>
    <m/>
    <m/>
    <x v="0"/>
    <x v="1"/>
  </r>
  <r>
    <d v="2020-05-15T00:00:00"/>
    <x v="13"/>
    <n v="219772.5"/>
    <n v="21895294.5"/>
    <m/>
    <m/>
    <m/>
    <x v="0"/>
    <x v="1"/>
  </r>
  <r>
    <d v="2020-05-29T00:00:00"/>
    <x v="13"/>
    <n v="226476"/>
    <n v="22416151.5"/>
    <m/>
    <m/>
    <m/>
    <x v="0"/>
    <x v="0"/>
  </r>
  <r>
    <d v="2020-05-27T00:00:00"/>
    <x v="15"/>
    <n v="8362.5"/>
    <n v="687684"/>
    <m/>
    <m/>
    <m/>
    <x v="0"/>
    <x v="0"/>
  </r>
  <r>
    <d v="2020-05-22T00:00:00"/>
    <x v="14"/>
    <n v="17008.5"/>
    <n v="1398771"/>
    <m/>
    <m/>
    <m/>
    <x v="0"/>
    <x v="2"/>
  </r>
  <r>
    <d v="2020-06-01T00:00:00"/>
    <x v="16"/>
    <n v="5166"/>
    <n v="389013"/>
    <m/>
    <m/>
    <m/>
    <x v="0"/>
    <x v="5"/>
  </r>
  <r>
    <d v="2020-05-11T00:00:00"/>
    <x v="14"/>
    <n v="10941"/>
    <n v="880356"/>
    <m/>
    <m/>
    <m/>
    <x v="0"/>
    <x v="1"/>
  </r>
  <r>
    <d v="2020-05-18T00:00:00"/>
    <x v="14"/>
    <n v="14497.5"/>
    <n v="1230711"/>
    <m/>
    <m/>
    <m/>
    <x v="0"/>
    <x v="2"/>
  </r>
  <r>
    <d v="2020-05-14T00:00:00"/>
    <x v="14"/>
    <n v="13810.5"/>
    <n v="1131676.5"/>
    <m/>
    <m/>
    <m/>
    <x v="0"/>
    <x v="1"/>
  </r>
  <r>
    <d v="2020-05-15T00:00:00"/>
    <x v="14"/>
    <n v="13752"/>
    <n v="1091040"/>
    <m/>
    <m/>
    <m/>
    <x v="0"/>
    <x v="1"/>
  </r>
  <r>
    <d v="2020-05-27T00:00:00"/>
    <x v="14"/>
    <n v="15276"/>
    <n v="1350199.5"/>
    <m/>
    <m/>
    <m/>
    <x v="0"/>
    <x v="0"/>
  </r>
  <r>
    <d v="2020-06-01T00:00:00"/>
    <x v="17"/>
    <n v="4408.5"/>
    <n v="410892"/>
    <m/>
    <m/>
    <m/>
    <x v="0"/>
    <x v="5"/>
  </r>
  <r>
    <d v="2020-05-29T00:00:00"/>
    <x v="15"/>
    <n v="9927"/>
    <n v="850840.5"/>
    <m/>
    <m/>
    <m/>
    <x v="0"/>
    <x v="0"/>
  </r>
  <r>
    <d v="2020-06-01T00:00:00"/>
    <x v="15"/>
    <n v="9474"/>
    <n v="802447.5"/>
    <m/>
    <m/>
    <m/>
    <x v="0"/>
    <x v="5"/>
  </r>
  <r>
    <d v="2020-05-29T00:00:00"/>
    <x v="14"/>
    <n v="16878"/>
    <n v="1438255.5"/>
    <m/>
    <m/>
    <m/>
    <x v="0"/>
    <x v="0"/>
  </r>
  <r>
    <d v="2020-06-01T00:00:00"/>
    <x v="14"/>
    <n v="14238"/>
    <n v="1293219"/>
    <m/>
    <m/>
    <m/>
    <x v="0"/>
    <x v="5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  <r>
    <m/>
    <x v="18"/>
    <m/>
    <m/>
    <m/>
    <m/>
    <m/>
    <x v="0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x v="0"/>
    <x v="0"/>
  </r>
  <r>
    <d v="2020-05-30T00:00:00"/>
    <x v="0"/>
    <n v="10029"/>
    <x v="1"/>
    <n v="15"/>
    <n v="490"/>
    <n v="409"/>
    <x v="1"/>
    <x v="0"/>
  </r>
  <r>
    <d v="2020-05-28T00:00:00"/>
    <x v="0"/>
    <n v="8536.5"/>
    <x v="2"/>
    <n v="15"/>
    <n v="464"/>
    <n v="390"/>
    <x v="2"/>
    <x v="0"/>
  </r>
  <r>
    <d v="2020-05-16T00:00:00"/>
    <x v="1"/>
    <n v="38947.5"/>
    <x v="3"/>
    <n v="21"/>
    <n v="2145"/>
    <n v="1947"/>
    <x v="3"/>
    <x v="1"/>
  </r>
  <r>
    <d v="2020-05-19T00:00:00"/>
    <x v="1"/>
    <n v="31842"/>
    <x v="4"/>
    <n v="21"/>
    <n v="1860"/>
    <n v="1704"/>
    <x v="4"/>
    <x v="2"/>
  </r>
  <r>
    <d v="2020-05-17T00:00:00"/>
    <x v="1"/>
    <n v="32023.5"/>
    <x v="5"/>
    <n v="21"/>
    <n v="1874"/>
    <n v="1705"/>
    <x v="5"/>
    <x v="1"/>
  </r>
  <r>
    <d v="2020-05-09T00:00:00"/>
    <x v="1"/>
    <n v="31147.5"/>
    <x v="6"/>
    <n v="21"/>
    <n v="1735"/>
    <n v="1568"/>
    <x v="6"/>
    <x v="3"/>
  </r>
  <r>
    <d v="2020-05-04T00:00:00"/>
    <x v="1"/>
    <n v="25566"/>
    <x v="7"/>
    <n v="20"/>
    <n v="1519"/>
    <n v="1372"/>
    <x v="7"/>
    <x v="3"/>
  </r>
  <r>
    <d v="2020-04-29T00:00:00"/>
    <x v="1"/>
    <n v="29319"/>
    <x v="8"/>
    <n v="18"/>
    <n v="1684"/>
    <n v="1528"/>
    <x v="8"/>
    <x v="4"/>
  </r>
  <r>
    <d v="2020-05-02T00:00:00"/>
    <x v="1"/>
    <n v="29031"/>
    <x v="9"/>
    <n v="18"/>
    <n v="1708"/>
    <n v="1534"/>
    <x v="9"/>
    <x v="4"/>
  </r>
  <r>
    <d v="2020-05-26T00:00:00"/>
    <x v="1"/>
    <n v="33423"/>
    <x v="10"/>
    <n v="20"/>
    <n v="2044"/>
    <n v="1863"/>
    <x v="10"/>
    <x v="0"/>
  </r>
  <r>
    <d v="2020-05-01T00:00:00"/>
    <x v="1"/>
    <n v="32487"/>
    <x v="11"/>
    <n v="18"/>
    <n v="1826"/>
    <n v="1633"/>
    <x v="11"/>
    <x v="4"/>
  </r>
  <r>
    <d v="2020-05-12T00:00:00"/>
    <x v="1"/>
    <n v="28219.5"/>
    <x v="12"/>
    <n v="21"/>
    <n v="1656"/>
    <n v="1516"/>
    <x v="12"/>
    <x v="1"/>
  </r>
  <r>
    <d v="2020-05-21T00:00:00"/>
    <x v="1"/>
    <n v="31272"/>
    <x v="13"/>
    <n v="21"/>
    <n v="1787"/>
    <n v="1626"/>
    <x v="13"/>
    <x v="2"/>
  </r>
  <r>
    <d v="2020-05-20T00:00:00"/>
    <x v="1"/>
    <n v="34077"/>
    <x v="14"/>
    <n v="21"/>
    <n v="1921"/>
    <n v="1767"/>
    <x v="14"/>
    <x v="2"/>
  </r>
  <r>
    <d v="2020-05-05T00:00:00"/>
    <x v="1"/>
    <n v="31566"/>
    <x v="15"/>
    <n v="20"/>
    <n v="1773"/>
    <n v="1604"/>
    <x v="15"/>
    <x v="3"/>
  </r>
  <r>
    <d v="2020-04-28T00:00:00"/>
    <x v="1"/>
    <n v="26940"/>
    <x v="16"/>
    <e v="#N/A"/>
    <e v="#N/A"/>
    <e v="#N/A"/>
    <x v="16"/>
    <x v="4"/>
  </r>
  <r>
    <d v="2020-05-13T00:00:00"/>
    <x v="1"/>
    <n v="29241"/>
    <x v="17"/>
    <n v="21"/>
    <n v="1698"/>
    <n v="1554"/>
    <x v="17"/>
    <x v="1"/>
  </r>
  <r>
    <d v="2020-05-03T00:00:00"/>
    <x v="1"/>
    <n v="26082"/>
    <x v="18"/>
    <n v="20"/>
    <n v="1520"/>
    <n v="1373"/>
    <x v="18"/>
    <x v="4"/>
  </r>
  <r>
    <d v="2020-05-06T00:00:00"/>
    <x v="1"/>
    <n v="32511"/>
    <x v="19"/>
    <n v="20"/>
    <n v="1784"/>
    <n v="1632"/>
    <x v="19"/>
    <x v="3"/>
  </r>
  <r>
    <d v="2020-05-23T00:00:00"/>
    <x v="1"/>
    <n v="42703.5"/>
    <x v="20"/>
    <n v="21"/>
    <n v="2340"/>
    <n v="2146"/>
    <x v="20"/>
    <x v="2"/>
  </r>
  <r>
    <d v="2020-05-25T00:00:00"/>
    <x v="1"/>
    <n v="35592"/>
    <x v="21"/>
    <n v="20"/>
    <n v="2087"/>
    <n v="1914"/>
    <x v="21"/>
    <x v="0"/>
  </r>
  <r>
    <d v="2020-04-30T00:00:00"/>
    <x v="1"/>
    <n v="30445.5"/>
    <x v="22"/>
    <n v="19"/>
    <n v="1712"/>
    <n v="1552"/>
    <x v="22"/>
    <x v="4"/>
  </r>
  <r>
    <d v="2020-05-10T00:00:00"/>
    <x v="1"/>
    <n v="36619.5"/>
    <x v="23"/>
    <n v="21"/>
    <n v="2016"/>
    <n v="1846"/>
    <x v="23"/>
    <x v="3"/>
  </r>
  <r>
    <d v="2020-05-08T00:00:00"/>
    <x v="1"/>
    <n v="29409"/>
    <x v="24"/>
    <n v="21"/>
    <n v="1646"/>
    <n v="1492"/>
    <x v="24"/>
    <x v="3"/>
  </r>
  <r>
    <d v="2020-05-07T00:00:00"/>
    <x v="1"/>
    <n v="27018"/>
    <x v="25"/>
    <n v="21"/>
    <n v="1542"/>
    <n v="1405"/>
    <x v="25"/>
    <x v="3"/>
  </r>
  <r>
    <d v="2020-05-24T00:00:00"/>
    <x v="1"/>
    <n v="34303.5"/>
    <x v="26"/>
    <n v="20"/>
    <n v="1999"/>
    <n v="1829"/>
    <x v="26"/>
    <x v="2"/>
  </r>
  <r>
    <d v="2020-05-31T00:00:00"/>
    <x v="1"/>
    <n v="36999"/>
    <x v="27"/>
    <n v="21"/>
    <n v="2271"/>
    <n v="2085"/>
    <x v="27"/>
    <x v="0"/>
  </r>
  <r>
    <d v="2020-05-30T00:00:00"/>
    <x v="1"/>
    <n v="44001"/>
    <x v="28"/>
    <n v="20"/>
    <n v="2597"/>
    <n v="2376"/>
    <x v="28"/>
    <x v="0"/>
  </r>
  <r>
    <d v="2020-05-28T00:00:00"/>
    <x v="1"/>
    <n v="30982.5"/>
    <x v="29"/>
    <n v="20"/>
    <n v="1886"/>
    <n v="1736"/>
    <x v="29"/>
    <x v="0"/>
  </r>
  <r>
    <d v="2020-05-16T00:00:00"/>
    <x v="2"/>
    <n v="88063.5"/>
    <x v="30"/>
    <n v="31"/>
    <n v="5593"/>
    <n v="5177"/>
    <x v="30"/>
    <x v="1"/>
  </r>
  <r>
    <d v="2020-05-19T00:00:00"/>
    <x v="2"/>
    <n v="84024"/>
    <x v="31"/>
    <n v="31"/>
    <n v="5389"/>
    <n v="5024"/>
    <x v="31"/>
    <x v="2"/>
  </r>
  <r>
    <d v="2020-05-17T00:00:00"/>
    <x v="2"/>
    <n v="78057"/>
    <x v="32"/>
    <n v="31"/>
    <n v="5206"/>
    <n v="4843"/>
    <x v="32"/>
    <x v="1"/>
  </r>
  <r>
    <d v="2020-05-09T00:00:00"/>
    <x v="2"/>
    <n v="69720"/>
    <x v="33"/>
    <n v="31"/>
    <n v="4556"/>
    <n v="4220"/>
    <x v="33"/>
    <x v="3"/>
  </r>
  <r>
    <d v="2020-05-04T00:00:00"/>
    <x v="2"/>
    <n v="72928.5"/>
    <x v="34"/>
    <n v="31"/>
    <n v="4968"/>
    <n v="4596"/>
    <x v="34"/>
    <x v="3"/>
  </r>
  <r>
    <d v="2020-04-29T00:00:00"/>
    <x v="2"/>
    <n v="79527"/>
    <x v="35"/>
    <e v="#N/A"/>
    <e v="#N/A"/>
    <e v="#N/A"/>
    <x v="16"/>
    <x v="4"/>
  </r>
  <r>
    <d v="2020-05-02T00:00:00"/>
    <x v="2"/>
    <n v="60463.5"/>
    <x v="36"/>
    <n v="31"/>
    <n v="4157"/>
    <n v="3823"/>
    <x v="35"/>
    <x v="4"/>
  </r>
  <r>
    <d v="2020-05-26T00:00:00"/>
    <x v="2"/>
    <n v="79975.5"/>
    <x v="37"/>
    <n v="31"/>
    <n v="5493"/>
    <n v="5119"/>
    <x v="36"/>
    <x v="0"/>
  </r>
  <r>
    <d v="2020-05-01T00:00:00"/>
    <x v="2"/>
    <n v="97534.5"/>
    <x v="38"/>
    <n v="31"/>
    <n v="6118"/>
    <n v="5564"/>
    <x v="37"/>
    <x v="4"/>
  </r>
  <r>
    <d v="2020-05-12T00:00:00"/>
    <x v="2"/>
    <n v="71520"/>
    <x v="39"/>
    <n v="31"/>
    <n v="4800"/>
    <n v="4470"/>
    <x v="38"/>
    <x v="1"/>
  </r>
  <r>
    <d v="2020-05-21T00:00:00"/>
    <x v="2"/>
    <n v="79485"/>
    <x v="40"/>
    <n v="31"/>
    <n v="5207"/>
    <n v="4868"/>
    <x v="39"/>
    <x v="2"/>
  </r>
  <r>
    <d v="2020-05-20T00:00:00"/>
    <x v="2"/>
    <n v="93313.5"/>
    <x v="41"/>
    <n v="31"/>
    <n v="5698"/>
    <n v="5258"/>
    <x v="40"/>
    <x v="2"/>
  </r>
  <r>
    <d v="2020-05-05T00:00:00"/>
    <x v="2"/>
    <n v="76585.5"/>
    <x v="42"/>
    <n v="31"/>
    <n v="5188"/>
    <n v="4800"/>
    <x v="41"/>
    <x v="3"/>
  </r>
  <r>
    <d v="2020-04-28T00:00:00"/>
    <x v="2"/>
    <n v="81826.5"/>
    <x v="43"/>
    <e v="#N/A"/>
    <e v="#N/A"/>
    <e v="#N/A"/>
    <x v="16"/>
    <x v="4"/>
  </r>
  <r>
    <d v="2020-05-13T00:00:00"/>
    <x v="2"/>
    <n v="78846"/>
    <x v="44"/>
    <n v="31"/>
    <n v="5251"/>
    <n v="4853"/>
    <x v="42"/>
    <x v="1"/>
  </r>
  <r>
    <d v="2020-05-03T00:00:00"/>
    <x v="2"/>
    <n v="77263.5"/>
    <x v="45"/>
    <n v="31"/>
    <n v="5155"/>
    <n v="4762"/>
    <x v="43"/>
    <x v="4"/>
  </r>
  <r>
    <d v="2020-05-06T00:00:00"/>
    <x v="2"/>
    <n v="68994"/>
    <x v="46"/>
    <n v="31"/>
    <n v="4709"/>
    <n v="4348"/>
    <x v="44"/>
    <x v="3"/>
  </r>
  <r>
    <d v="2020-05-23T00:00:00"/>
    <x v="2"/>
    <n v="102889.5"/>
    <x v="47"/>
    <n v="31"/>
    <n v="6276"/>
    <n v="5801"/>
    <x v="45"/>
    <x v="2"/>
  </r>
  <r>
    <d v="2020-05-25T00:00:00"/>
    <x v="2"/>
    <n v="76999.5"/>
    <x v="48"/>
    <n v="31"/>
    <n v="5210"/>
    <n v="4841"/>
    <x v="46"/>
    <x v="0"/>
  </r>
  <r>
    <d v="2020-04-30T00:00:00"/>
    <x v="2"/>
    <n v="77565"/>
    <x v="49"/>
    <e v="#N/A"/>
    <e v="#N/A"/>
    <e v="#N/A"/>
    <x v="16"/>
    <x v="4"/>
  </r>
  <r>
    <d v="2020-05-10T00:00:00"/>
    <x v="2"/>
    <n v="84132"/>
    <x v="50"/>
    <n v="31"/>
    <n v="5495"/>
    <n v="5093"/>
    <x v="47"/>
    <x v="3"/>
  </r>
  <r>
    <d v="2020-05-08T00:00:00"/>
    <x v="2"/>
    <n v="69544.5"/>
    <x v="51"/>
    <n v="31"/>
    <n v="4635"/>
    <n v="4266"/>
    <x v="48"/>
    <x v="3"/>
  </r>
  <r>
    <d v="2020-05-07T00:00:00"/>
    <x v="2"/>
    <n v="73204.5"/>
    <x v="52"/>
    <n v="31"/>
    <n v="4903"/>
    <n v="4527"/>
    <x v="49"/>
    <x v="3"/>
  </r>
  <r>
    <d v="2020-05-24T00:00:00"/>
    <x v="2"/>
    <n v="76663.5"/>
    <x v="53"/>
    <n v="31"/>
    <n v="5035"/>
    <n v="4683"/>
    <x v="50"/>
    <x v="2"/>
  </r>
  <r>
    <d v="2020-05-16T00:00:00"/>
    <x v="3"/>
    <n v="14265"/>
    <x v="54"/>
    <n v="10"/>
    <n v="760"/>
    <n v="672"/>
    <x v="51"/>
    <x v="1"/>
  </r>
  <r>
    <d v="2020-05-19T00:00:00"/>
    <x v="3"/>
    <n v="11526"/>
    <x v="55"/>
    <n v="10"/>
    <n v="649"/>
    <n v="568"/>
    <x v="52"/>
    <x v="2"/>
  </r>
  <r>
    <d v="2020-05-17T00:00:00"/>
    <x v="3"/>
    <n v="10402.5"/>
    <x v="56"/>
    <n v="10"/>
    <n v="591"/>
    <n v="513"/>
    <x v="53"/>
    <x v="1"/>
  </r>
  <r>
    <d v="2020-05-09T00:00:00"/>
    <x v="3"/>
    <n v="13216.5"/>
    <x v="57"/>
    <n v="10"/>
    <n v="644"/>
    <n v="559"/>
    <x v="54"/>
    <x v="3"/>
  </r>
  <r>
    <d v="2020-05-04T00:00:00"/>
    <x v="3"/>
    <n v="9130.5"/>
    <x v="58"/>
    <n v="10"/>
    <n v="462"/>
    <n v="396"/>
    <x v="55"/>
    <x v="3"/>
  </r>
  <r>
    <d v="2020-04-29T00:00:00"/>
    <x v="3"/>
    <n v="10840.5"/>
    <x v="59"/>
    <e v="#N/A"/>
    <e v="#N/A"/>
    <e v="#N/A"/>
    <x v="16"/>
    <x v="4"/>
  </r>
  <r>
    <d v="2020-05-02T00:00:00"/>
    <x v="3"/>
    <n v="7866"/>
    <x v="60"/>
    <n v="10"/>
    <n v="416"/>
    <n v="341"/>
    <x v="56"/>
    <x v="4"/>
  </r>
  <r>
    <d v="2020-05-26T00:00:00"/>
    <x v="3"/>
    <n v="11835"/>
    <x v="61"/>
    <n v="10"/>
    <n v="692"/>
    <n v="601"/>
    <x v="57"/>
    <x v="0"/>
  </r>
  <r>
    <d v="2020-05-01T00:00:00"/>
    <x v="3"/>
    <n v="11619"/>
    <x v="62"/>
    <e v="#N/A"/>
    <e v="#N/A"/>
    <e v="#N/A"/>
    <x v="16"/>
    <x v="4"/>
  </r>
  <r>
    <d v="2020-05-12T00:00:00"/>
    <x v="3"/>
    <n v="9328.5"/>
    <x v="63"/>
    <n v="10"/>
    <n v="526"/>
    <n v="448"/>
    <x v="58"/>
    <x v="1"/>
  </r>
  <r>
    <d v="2020-05-21T00:00:00"/>
    <x v="3"/>
    <n v="11250"/>
    <x v="64"/>
    <n v="10"/>
    <n v="677"/>
    <n v="591"/>
    <x v="59"/>
    <x v="2"/>
  </r>
  <r>
    <d v="2020-05-20T00:00:00"/>
    <x v="3"/>
    <n v="13063.5"/>
    <x v="65"/>
    <n v="10"/>
    <n v="745"/>
    <n v="654"/>
    <x v="60"/>
    <x v="2"/>
  </r>
  <r>
    <d v="2020-05-05T00:00:00"/>
    <x v="3"/>
    <n v="10147.5"/>
    <x v="66"/>
    <n v="10"/>
    <n v="511"/>
    <n v="437"/>
    <x v="61"/>
    <x v="3"/>
  </r>
  <r>
    <d v="2020-04-28T00:00:00"/>
    <x v="3"/>
    <n v="12331.5"/>
    <x v="67"/>
    <e v="#N/A"/>
    <e v="#N/A"/>
    <e v="#N/A"/>
    <x v="16"/>
    <x v="4"/>
  </r>
  <r>
    <d v="2020-05-13T00:00:00"/>
    <x v="3"/>
    <n v="11202"/>
    <x v="68"/>
    <n v="10"/>
    <n v="612"/>
    <n v="530"/>
    <x v="62"/>
    <x v="1"/>
  </r>
  <r>
    <d v="2020-05-31T00:00:00"/>
    <x v="2"/>
    <n v="89149.5"/>
    <x v="69"/>
    <n v="31"/>
    <n v="5760"/>
    <n v="5367"/>
    <x v="63"/>
    <x v="0"/>
  </r>
  <r>
    <d v="2020-05-03T00:00:00"/>
    <x v="3"/>
    <n v="8185.5"/>
    <x v="70"/>
    <n v="10"/>
    <n v="402"/>
    <n v="333"/>
    <x v="64"/>
    <x v="4"/>
  </r>
  <r>
    <d v="2020-05-30T00:00:00"/>
    <x v="2"/>
    <n v="108123"/>
    <x v="71"/>
    <n v="31"/>
    <n v="6735"/>
    <n v="6264"/>
    <x v="65"/>
    <x v="0"/>
  </r>
  <r>
    <d v="2020-05-06T00:00:00"/>
    <x v="3"/>
    <n v="9210"/>
    <x v="72"/>
    <n v="10"/>
    <n v="465"/>
    <n v="390"/>
    <x v="66"/>
    <x v="3"/>
  </r>
  <r>
    <d v="2020-05-23T00:00:00"/>
    <x v="3"/>
    <n v="14773.5"/>
    <x v="73"/>
    <n v="10"/>
    <n v="828"/>
    <n v="734"/>
    <x v="67"/>
    <x v="2"/>
  </r>
  <r>
    <d v="2020-05-28T00:00:00"/>
    <x v="2"/>
    <n v="78141"/>
    <x v="74"/>
    <n v="31"/>
    <n v="5355"/>
    <n v="4969"/>
    <x v="68"/>
    <x v="0"/>
  </r>
  <r>
    <d v="2020-05-25T00:00:00"/>
    <x v="3"/>
    <n v="12280.5"/>
    <x v="75"/>
    <n v="10"/>
    <n v="739"/>
    <n v="642"/>
    <x v="69"/>
    <x v="0"/>
  </r>
  <r>
    <d v="2020-04-30T00:00:00"/>
    <x v="3"/>
    <n v="8934"/>
    <x v="76"/>
    <e v="#N/A"/>
    <e v="#N/A"/>
    <e v="#N/A"/>
    <x v="16"/>
    <x v="4"/>
  </r>
  <r>
    <d v="2020-05-10T00:00:00"/>
    <x v="3"/>
    <n v="12918"/>
    <x v="77"/>
    <n v="10"/>
    <n v="642"/>
    <n v="556"/>
    <x v="70"/>
    <x v="3"/>
  </r>
  <r>
    <d v="2020-05-08T00:00:00"/>
    <x v="3"/>
    <n v="12528"/>
    <x v="78"/>
    <n v="10"/>
    <n v="638"/>
    <n v="547"/>
    <x v="71"/>
    <x v="3"/>
  </r>
  <r>
    <d v="2020-05-07T00:00:00"/>
    <x v="3"/>
    <n v="11029.5"/>
    <x v="79"/>
    <n v="10"/>
    <n v="563"/>
    <n v="486"/>
    <x v="72"/>
    <x v="3"/>
  </r>
  <r>
    <d v="2020-05-24T00:00:00"/>
    <x v="3"/>
    <n v="9994.5"/>
    <x v="80"/>
    <n v="10"/>
    <n v="639"/>
    <n v="557"/>
    <x v="73"/>
    <x v="2"/>
  </r>
  <r>
    <d v="2020-05-31T00:00:00"/>
    <x v="3"/>
    <n v="12724.5"/>
    <x v="81"/>
    <n v="10"/>
    <n v="749"/>
    <n v="655"/>
    <x v="74"/>
    <x v="0"/>
  </r>
  <r>
    <d v="2020-05-30T00:00:00"/>
    <x v="3"/>
    <n v="14728.5"/>
    <x v="82"/>
    <n v="10"/>
    <n v="865"/>
    <n v="763"/>
    <x v="75"/>
    <x v="0"/>
  </r>
  <r>
    <d v="2020-05-28T00:00:00"/>
    <x v="3"/>
    <n v="13038"/>
    <x v="83"/>
    <n v="10"/>
    <n v="791"/>
    <n v="697"/>
    <x v="76"/>
    <x v="0"/>
  </r>
  <r>
    <d v="2020-05-16T00:00:00"/>
    <x v="4"/>
    <n v="35482.5"/>
    <x v="84"/>
    <n v="19"/>
    <n v="2080"/>
    <n v="1844"/>
    <x v="77"/>
    <x v="1"/>
  </r>
  <r>
    <d v="2020-05-19T00:00:00"/>
    <x v="4"/>
    <n v="32434.5"/>
    <x v="85"/>
    <n v="19"/>
    <n v="1999"/>
    <n v="1799"/>
    <x v="78"/>
    <x v="2"/>
  </r>
  <r>
    <d v="2020-05-17T00:00:00"/>
    <x v="4"/>
    <n v="30486"/>
    <x v="86"/>
    <n v="19"/>
    <n v="1871"/>
    <n v="1660"/>
    <x v="79"/>
    <x v="1"/>
  </r>
  <r>
    <d v="2020-05-09T00:00:00"/>
    <x v="4"/>
    <n v="32079"/>
    <x v="87"/>
    <n v="19"/>
    <n v="1851"/>
    <n v="1635"/>
    <x v="80"/>
    <x v="3"/>
  </r>
  <r>
    <d v="2020-05-04T00:00:00"/>
    <x v="4"/>
    <n v="27072"/>
    <x v="88"/>
    <n v="19"/>
    <n v="1582"/>
    <n v="1403"/>
    <x v="81"/>
    <x v="3"/>
  </r>
  <r>
    <d v="2020-04-29T00:00:00"/>
    <x v="4"/>
    <n v="25917"/>
    <x v="89"/>
    <e v="#N/A"/>
    <e v="#N/A"/>
    <e v="#N/A"/>
    <x v="16"/>
    <x v="4"/>
  </r>
  <r>
    <d v="2020-05-02T00:00:00"/>
    <x v="4"/>
    <n v="19461"/>
    <x v="90"/>
    <e v="#N/A"/>
    <e v="#N/A"/>
    <e v="#N/A"/>
    <x v="16"/>
    <x v="4"/>
  </r>
  <r>
    <d v="2020-05-26T00:00:00"/>
    <x v="4"/>
    <n v="31407"/>
    <x v="91"/>
    <n v="20"/>
    <n v="2036"/>
    <n v="1790"/>
    <x v="82"/>
    <x v="0"/>
  </r>
  <r>
    <d v="2020-05-01T00:00:00"/>
    <x v="4"/>
    <n v="25792.5"/>
    <x v="92"/>
    <e v="#N/A"/>
    <e v="#N/A"/>
    <e v="#N/A"/>
    <x v="16"/>
    <x v="4"/>
  </r>
  <r>
    <d v="2020-05-12T00:00:00"/>
    <x v="4"/>
    <n v="26032.5"/>
    <x v="93"/>
    <n v="19"/>
    <n v="1649"/>
    <n v="1460"/>
    <x v="83"/>
    <x v="1"/>
  </r>
  <r>
    <d v="2020-05-21T00:00:00"/>
    <x v="4"/>
    <n v="31707"/>
    <x v="94"/>
    <n v="19"/>
    <n v="1949"/>
    <n v="1724"/>
    <x v="84"/>
    <x v="2"/>
  </r>
  <r>
    <d v="2020-05-20T00:00:00"/>
    <x v="4"/>
    <n v="29955"/>
    <x v="95"/>
    <n v="19"/>
    <n v="1889"/>
    <n v="1690"/>
    <x v="85"/>
    <x v="2"/>
  </r>
  <r>
    <d v="2020-05-05T00:00:00"/>
    <x v="4"/>
    <n v="22848"/>
    <x v="96"/>
    <n v="19"/>
    <n v="1417"/>
    <n v="1245"/>
    <x v="86"/>
    <x v="3"/>
  </r>
  <r>
    <d v="2020-04-28T00:00:00"/>
    <x v="4"/>
    <n v="23314.5"/>
    <x v="97"/>
    <e v="#N/A"/>
    <e v="#N/A"/>
    <e v="#N/A"/>
    <x v="16"/>
    <x v="4"/>
  </r>
  <r>
    <d v="2020-05-13T00:00:00"/>
    <x v="4"/>
    <n v="26464.5"/>
    <x v="98"/>
    <n v="19"/>
    <n v="1625"/>
    <n v="1444"/>
    <x v="87"/>
    <x v="1"/>
  </r>
  <r>
    <d v="2020-05-03T00:00:00"/>
    <x v="4"/>
    <n v="23539.5"/>
    <x v="99"/>
    <e v="#N/A"/>
    <e v="#N/A"/>
    <e v="#N/A"/>
    <x v="16"/>
    <x v="4"/>
  </r>
  <r>
    <d v="2020-05-06T00:00:00"/>
    <x v="4"/>
    <n v="24678"/>
    <x v="100"/>
    <n v="19"/>
    <n v="1499"/>
    <n v="1323"/>
    <x v="88"/>
    <x v="3"/>
  </r>
  <r>
    <d v="2020-05-23T00:00:00"/>
    <x v="4"/>
    <n v="38176.5"/>
    <x v="101"/>
    <n v="20"/>
    <n v="2266"/>
    <n v="1993"/>
    <x v="89"/>
    <x v="2"/>
  </r>
  <r>
    <d v="2020-05-25T00:00:00"/>
    <x v="4"/>
    <n v="30603"/>
    <x v="102"/>
    <n v="20"/>
    <n v="2011"/>
    <n v="1791"/>
    <x v="90"/>
    <x v="0"/>
  </r>
  <r>
    <d v="2020-04-30T00:00:00"/>
    <x v="4"/>
    <n v="24211.5"/>
    <x v="103"/>
    <e v="#N/A"/>
    <e v="#N/A"/>
    <e v="#N/A"/>
    <x v="16"/>
    <x v="4"/>
  </r>
  <r>
    <d v="2020-05-10T00:00:00"/>
    <x v="4"/>
    <n v="31399.5"/>
    <x v="104"/>
    <n v="19"/>
    <n v="1848"/>
    <n v="1649"/>
    <x v="91"/>
    <x v="3"/>
  </r>
  <r>
    <d v="2020-05-08T00:00:00"/>
    <x v="4"/>
    <n v="25294.5"/>
    <x v="105"/>
    <n v="19"/>
    <n v="1522"/>
    <n v="1340"/>
    <x v="92"/>
    <x v="3"/>
  </r>
  <r>
    <d v="2020-05-07T00:00:00"/>
    <x v="4"/>
    <n v="25468.5"/>
    <x v="106"/>
    <n v="19"/>
    <n v="1530"/>
    <n v="1338"/>
    <x v="93"/>
    <x v="3"/>
  </r>
  <r>
    <d v="2020-05-24T00:00:00"/>
    <x v="4"/>
    <n v="31854"/>
    <x v="107"/>
    <n v="20"/>
    <n v="2015"/>
    <n v="1803"/>
    <x v="94"/>
    <x v="2"/>
  </r>
  <r>
    <d v="2020-05-31T00:00:00"/>
    <x v="4"/>
    <n v="32359.5"/>
    <x v="108"/>
    <n v="20"/>
    <n v="2060"/>
    <n v="1826"/>
    <x v="95"/>
    <x v="0"/>
  </r>
  <r>
    <d v="2020-05-30T00:00:00"/>
    <x v="4"/>
    <n v="39867"/>
    <x v="109"/>
    <n v="20"/>
    <n v="2451"/>
    <n v="2178"/>
    <x v="96"/>
    <x v="0"/>
  </r>
  <r>
    <d v="2020-05-28T00:00:00"/>
    <x v="4"/>
    <n v="31974"/>
    <x v="110"/>
    <n v="20"/>
    <n v="2088"/>
    <n v="1848"/>
    <x v="97"/>
    <x v="0"/>
  </r>
  <r>
    <d v="2020-05-16T00:00:00"/>
    <x v="5"/>
    <n v="321412.5"/>
    <x v="111"/>
    <n v="129"/>
    <n v="17914"/>
    <n v="16631"/>
    <x v="98"/>
    <x v="1"/>
  </r>
  <r>
    <d v="2020-05-19T00:00:00"/>
    <x v="5"/>
    <n v="276568.5"/>
    <x v="112"/>
    <n v="129"/>
    <n v="16191"/>
    <n v="15102"/>
    <x v="99"/>
    <x v="2"/>
  </r>
  <r>
    <d v="2020-05-17T00:00:00"/>
    <x v="5"/>
    <n v="269029.5"/>
    <x v="113"/>
    <n v="129"/>
    <n v="15744"/>
    <n v="14685"/>
    <x v="100"/>
    <x v="1"/>
  </r>
  <r>
    <d v="2020-05-09T00:00:00"/>
    <x v="5"/>
    <n v="285972"/>
    <x v="114"/>
    <n v="129"/>
    <n v="16420"/>
    <n v="15169"/>
    <x v="101"/>
    <x v="3"/>
  </r>
  <r>
    <d v="2020-05-04T00:00:00"/>
    <x v="5"/>
    <n v="283942.5"/>
    <x v="115"/>
    <e v="#N/A"/>
    <e v="#N/A"/>
    <e v="#N/A"/>
    <x v="16"/>
    <x v="3"/>
  </r>
  <r>
    <d v="2020-04-29T00:00:00"/>
    <x v="5"/>
    <n v="298059"/>
    <x v="116"/>
    <e v="#N/A"/>
    <e v="#N/A"/>
    <e v="#N/A"/>
    <x v="16"/>
    <x v="4"/>
  </r>
  <r>
    <d v="2020-05-02T00:00:00"/>
    <x v="5"/>
    <n v="232903.5"/>
    <x v="117"/>
    <e v="#N/A"/>
    <e v="#N/A"/>
    <e v="#N/A"/>
    <x v="16"/>
    <x v="4"/>
  </r>
  <r>
    <d v="2020-05-26T00:00:00"/>
    <x v="5"/>
    <n v="276966"/>
    <x v="118"/>
    <n v="129"/>
    <n v="16459"/>
    <n v="15355"/>
    <x v="102"/>
    <x v="0"/>
  </r>
  <r>
    <d v="2020-05-01T00:00:00"/>
    <x v="5"/>
    <n v="296149.5"/>
    <x v="119"/>
    <e v="#N/A"/>
    <e v="#N/A"/>
    <e v="#N/A"/>
    <x v="16"/>
    <x v="4"/>
  </r>
  <r>
    <d v="2020-05-12T00:00:00"/>
    <x v="5"/>
    <n v="281796"/>
    <x v="120"/>
    <n v="129"/>
    <n v="16387"/>
    <n v="15322"/>
    <x v="103"/>
    <x v="1"/>
  </r>
  <r>
    <d v="2020-05-21T00:00:00"/>
    <x v="5"/>
    <n v="288936"/>
    <x v="121"/>
    <n v="129"/>
    <n v="16373"/>
    <n v="15223"/>
    <x v="104"/>
    <x v="2"/>
  </r>
  <r>
    <d v="2020-05-20T00:00:00"/>
    <x v="5"/>
    <n v="300151.5"/>
    <x v="122"/>
    <n v="129"/>
    <n v="17095"/>
    <n v="15919"/>
    <x v="105"/>
    <x v="2"/>
  </r>
  <r>
    <d v="2020-05-05T00:00:00"/>
    <x v="5"/>
    <n v="262734"/>
    <x v="123"/>
    <e v="#N/A"/>
    <e v="#N/A"/>
    <e v="#N/A"/>
    <x v="16"/>
    <x v="3"/>
  </r>
  <r>
    <d v="2020-04-28T00:00:00"/>
    <x v="5"/>
    <n v="286002"/>
    <x v="124"/>
    <e v="#N/A"/>
    <e v="#N/A"/>
    <e v="#N/A"/>
    <x v="16"/>
    <x v="4"/>
  </r>
  <r>
    <d v="2020-05-13T00:00:00"/>
    <x v="5"/>
    <n v="258459"/>
    <x v="125"/>
    <n v="129"/>
    <n v="15304"/>
    <n v="14315"/>
    <x v="106"/>
    <x v="1"/>
  </r>
  <r>
    <d v="2020-05-03T00:00:00"/>
    <x v="5"/>
    <n v="274083"/>
    <x v="126"/>
    <e v="#N/A"/>
    <e v="#N/A"/>
    <e v="#N/A"/>
    <x v="16"/>
    <x v="4"/>
  </r>
  <r>
    <d v="2020-05-06T00:00:00"/>
    <x v="5"/>
    <n v="277512"/>
    <x v="127"/>
    <e v="#N/A"/>
    <e v="#N/A"/>
    <e v="#N/A"/>
    <x v="16"/>
    <x v="3"/>
  </r>
  <r>
    <d v="2020-05-23T00:00:00"/>
    <x v="5"/>
    <n v="356982"/>
    <x v="128"/>
    <n v="129"/>
    <n v="19856"/>
    <n v="18325"/>
    <x v="107"/>
    <x v="2"/>
  </r>
  <r>
    <d v="2020-05-25T00:00:00"/>
    <x v="5"/>
    <n v="266983.5"/>
    <x v="129"/>
    <n v="129"/>
    <n v="15822"/>
    <n v="14753"/>
    <x v="108"/>
    <x v="0"/>
  </r>
  <r>
    <d v="2020-04-30T00:00:00"/>
    <x v="5"/>
    <n v="311131.5"/>
    <x v="130"/>
    <e v="#N/A"/>
    <e v="#N/A"/>
    <e v="#N/A"/>
    <x v="16"/>
    <x v="4"/>
  </r>
  <r>
    <d v="2020-05-10T00:00:00"/>
    <x v="5"/>
    <n v="287206.5"/>
    <x v="131"/>
    <n v="129"/>
    <n v="16437"/>
    <n v="15285"/>
    <x v="109"/>
    <x v="3"/>
  </r>
  <r>
    <d v="2020-05-08T00:00:00"/>
    <x v="5"/>
    <n v="370092"/>
    <x v="132"/>
    <n v="129"/>
    <n v="20452"/>
    <n v="18857"/>
    <x v="110"/>
    <x v="3"/>
  </r>
  <r>
    <d v="2020-05-07T00:00:00"/>
    <x v="5"/>
    <n v="247813.5"/>
    <x v="133"/>
    <n v="129"/>
    <n v="14582"/>
    <n v="13512"/>
    <x v="111"/>
    <x v="3"/>
  </r>
  <r>
    <d v="2020-05-24T00:00:00"/>
    <x v="5"/>
    <n v="287740.5"/>
    <x v="134"/>
    <n v="129"/>
    <n v="16432"/>
    <n v="15345"/>
    <x v="112"/>
    <x v="2"/>
  </r>
  <r>
    <d v="2020-05-16T00:00:00"/>
    <x v="6"/>
    <n v="408810"/>
    <x v="135"/>
    <n v="125"/>
    <n v="22291"/>
    <n v="20635"/>
    <x v="113"/>
    <x v="1"/>
  </r>
  <r>
    <d v="2020-05-19T00:00:00"/>
    <x v="6"/>
    <n v="362536.5"/>
    <x v="136"/>
    <n v="125"/>
    <n v="20771"/>
    <n v="19338"/>
    <x v="114"/>
    <x v="2"/>
  </r>
  <r>
    <d v="2020-05-17T00:00:00"/>
    <x v="6"/>
    <n v="357072"/>
    <x v="137"/>
    <n v="125"/>
    <n v="20079"/>
    <n v="18721"/>
    <x v="115"/>
    <x v="1"/>
  </r>
  <r>
    <d v="2020-05-09T00:00:00"/>
    <x v="6"/>
    <n v="359214"/>
    <x v="138"/>
    <n v="125"/>
    <n v="20132"/>
    <n v="18617"/>
    <x v="116"/>
    <x v="3"/>
  </r>
  <r>
    <d v="2020-05-04T00:00:00"/>
    <x v="6"/>
    <n v="360255"/>
    <x v="139"/>
    <e v="#N/A"/>
    <e v="#N/A"/>
    <e v="#N/A"/>
    <x v="16"/>
    <x v="3"/>
  </r>
  <r>
    <d v="2020-04-29T00:00:00"/>
    <x v="6"/>
    <n v="387220.5"/>
    <x v="140"/>
    <e v="#N/A"/>
    <e v="#N/A"/>
    <e v="#N/A"/>
    <x v="16"/>
    <x v="4"/>
  </r>
  <r>
    <d v="2020-05-02T00:00:00"/>
    <x v="6"/>
    <n v="296580"/>
    <x v="141"/>
    <e v="#N/A"/>
    <e v="#N/A"/>
    <e v="#N/A"/>
    <x v="16"/>
    <x v="4"/>
  </r>
  <r>
    <d v="2020-05-26T00:00:00"/>
    <x v="6"/>
    <n v="369861"/>
    <x v="142"/>
    <n v="124"/>
    <n v="21153"/>
    <n v="19673"/>
    <x v="117"/>
    <x v="0"/>
  </r>
  <r>
    <d v="2020-05-01T00:00:00"/>
    <x v="6"/>
    <n v="372504"/>
    <x v="143"/>
    <e v="#N/A"/>
    <e v="#N/A"/>
    <e v="#N/A"/>
    <x v="16"/>
    <x v="4"/>
  </r>
  <r>
    <d v="2020-05-12T00:00:00"/>
    <x v="6"/>
    <n v="373392"/>
    <x v="144"/>
    <n v="125"/>
    <n v="21106"/>
    <n v="19651"/>
    <x v="118"/>
    <x v="1"/>
  </r>
  <r>
    <d v="2020-05-21T00:00:00"/>
    <x v="6"/>
    <n v="378043.5"/>
    <x v="145"/>
    <n v="125"/>
    <n v="20911"/>
    <n v="19358"/>
    <x v="119"/>
    <x v="2"/>
  </r>
  <r>
    <d v="2020-05-20T00:00:00"/>
    <x v="6"/>
    <n v="388668"/>
    <x v="146"/>
    <n v="125"/>
    <n v="21674"/>
    <n v="20155"/>
    <x v="120"/>
    <x v="2"/>
  </r>
  <r>
    <d v="2020-05-05T00:00:00"/>
    <x v="6"/>
    <n v="333792"/>
    <x v="147"/>
    <e v="#N/A"/>
    <e v="#N/A"/>
    <e v="#N/A"/>
    <x v="16"/>
    <x v="3"/>
  </r>
  <r>
    <d v="2020-04-28T00:00:00"/>
    <x v="6"/>
    <n v="376060.5"/>
    <x v="148"/>
    <e v="#N/A"/>
    <e v="#N/A"/>
    <e v="#N/A"/>
    <x v="16"/>
    <x v="4"/>
  </r>
  <r>
    <d v="2020-05-13T00:00:00"/>
    <x v="6"/>
    <n v="350068.5"/>
    <x v="149"/>
    <n v="125"/>
    <n v="19965"/>
    <n v="18573"/>
    <x v="121"/>
    <x v="1"/>
  </r>
  <r>
    <d v="2020-05-31T00:00:00"/>
    <x v="5"/>
    <n v="294337.5"/>
    <x v="150"/>
    <n v="129"/>
    <n v="17235"/>
    <n v="16052"/>
    <x v="122"/>
    <x v="0"/>
  </r>
  <r>
    <d v="2020-05-03T00:00:00"/>
    <x v="6"/>
    <n v="342666"/>
    <x v="151"/>
    <e v="#N/A"/>
    <e v="#N/A"/>
    <e v="#N/A"/>
    <x v="16"/>
    <x v="4"/>
  </r>
  <r>
    <d v="2020-05-30T00:00:00"/>
    <x v="5"/>
    <n v="364882.5"/>
    <x v="152"/>
    <n v="129"/>
    <n v="20243"/>
    <n v="18711"/>
    <x v="123"/>
    <x v="0"/>
  </r>
  <r>
    <d v="2020-05-06T00:00:00"/>
    <x v="6"/>
    <n v="355278"/>
    <x v="153"/>
    <e v="#N/A"/>
    <e v="#N/A"/>
    <e v="#N/A"/>
    <x v="16"/>
    <x v="3"/>
  </r>
  <r>
    <d v="2020-05-23T00:00:00"/>
    <x v="6"/>
    <n v="456885"/>
    <x v="154"/>
    <n v="125"/>
    <n v="24574"/>
    <n v="22609"/>
    <x v="124"/>
    <x v="2"/>
  </r>
  <r>
    <d v="2020-05-28T00:00:00"/>
    <x v="5"/>
    <n v="278491.5"/>
    <x v="155"/>
    <n v="129"/>
    <n v="16453"/>
    <n v="15289"/>
    <x v="125"/>
    <x v="0"/>
  </r>
  <r>
    <d v="2020-05-25T00:00:00"/>
    <x v="6"/>
    <n v="349734"/>
    <x v="156"/>
    <n v="124"/>
    <n v="20358"/>
    <n v="18890"/>
    <x v="126"/>
    <x v="0"/>
  </r>
  <r>
    <d v="2020-04-30T00:00:00"/>
    <x v="6"/>
    <n v="401580"/>
    <x v="157"/>
    <e v="#N/A"/>
    <e v="#N/A"/>
    <e v="#N/A"/>
    <x v="16"/>
    <x v="4"/>
  </r>
  <r>
    <d v="2020-05-10T00:00:00"/>
    <x v="6"/>
    <n v="368649"/>
    <x v="158"/>
    <n v="125"/>
    <n v="20368"/>
    <n v="18884"/>
    <x v="127"/>
    <x v="3"/>
  </r>
  <r>
    <d v="2020-05-08T00:00:00"/>
    <x v="6"/>
    <n v="463530"/>
    <x v="159"/>
    <e v="#N/A"/>
    <e v="#N/A"/>
    <e v="#N/A"/>
    <x v="16"/>
    <x v="3"/>
  </r>
  <r>
    <d v="2020-05-07T00:00:00"/>
    <x v="6"/>
    <n v="319110"/>
    <x v="160"/>
    <e v="#N/A"/>
    <e v="#N/A"/>
    <e v="#N/A"/>
    <x v="16"/>
    <x v="3"/>
  </r>
  <r>
    <d v="2020-05-24T00:00:00"/>
    <x v="6"/>
    <n v="375744"/>
    <x v="161"/>
    <n v="125"/>
    <n v="21004"/>
    <n v="19556"/>
    <x v="128"/>
    <x v="2"/>
  </r>
  <r>
    <d v="2020-05-16T00:00:00"/>
    <x v="7"/>
    <n v="81331.5"/>
    <x v="162"/>
    <n v="36"/>
    <n v="5286"/>
    <n v="4867"/>
    <x v="129"/>
    <x v="1"/>
  </r>
  <r>
    <d v="2020-05-19T00:00:00"/>
    <x v="7"/>
    <n v="75796.5"/>
    <x v="163"/>
    <n v="36"/>
    <n v="5094"/>
    <n v="4716"/>
    <x v="130"/>
    <x v="2"/>
  </r>
  <r>
    <d v="2020-05-17T00:00:00"/>
    <x v="7"/>
    <n v="72861"/>
    <x v="164"/>
    <n v="36"/>
    <n v="4918"/>
    <n v="4554"/>
    <x v="131"/>
    <x v="1"/>
  </r>
  <r>
    <d v="2020-05-09T00:00:00"/>
    <x v="7"/>
    <n v="83373"/>
    <x v="165"/>
    <e v="#N/A"/>
    <e v="#N/A"/>
    <e v="#N/A"/>
    <x v="16"/>
    <x v="3"/>
  </r>
  <r>
    <d v="2020-05-04T00:00:00"/>
    <x v="7"/>
    <n v="64108.5"/>
    <x v="166"/>
    <e v="#N/A"/>
    <e v="#N/A"/>
    <e v="#N/A"/>
    <x v="16"/>
    <x v="3"/>
  </r>
  <r>
    <d v="2020-04-29T00:00:00"/>
    <x v="7"/>
    <n v="74707.5"/>
    <x v="167"/>
    <e v="#N/A"/>
    <e v="#N/A"/>
    <e v="#N/A"/>
    <x v="16"/>
    <x v="4"/>
  </r>
  <r>
    <d v="2020-05-02T00:00:00"/>
    <x v="7"/>
    <n v="46216.5"/>
    <x v="168"/>
    <e v="#N/A"/>
    <e v="#N/A"/>
    <e v="#N/A"/>
    <x v="16"/>
    <x v="4"/>
  </r>
  <r>
    <d v="2020-05-26T00:00:00"/>
    <x v="7"/>
    <n v="67726.5"/>
    <x v="169"/>
    <n v="36"/>
    <n v="4770"/>
    <n v="4424"/>
    <x v="132"/>
    <x v="0"/>
  </r>
  <r>
    <d v="2020-05-01T00:00:00"/>
    <x v="7"/>
    <n v="82228.5"/>
    <x v="170"/>
    <e v="#N/A"/>
    <e v="#N/A"/>
    <e v="#N/A"/>
    <x v="16"/>
    <x v="4"/>
  </r>
  <r>
    <d v="2020-05-12T00:00:00"/>
    <x v="7"/>
    <n v="64390.5"/>
    <x v="171"/>
    <n v="36"/>
    <n v="4418"/>
    <n v="4088"/>
    <x v="133"/>
    <x v="1"/>
  </r>
  <r>
    <d v="2020-05-21T00:00:00"/>
    <x v="7"/>
    <n v="73126.5"/>
    <x v="172"/>
    <n v="36"/>
    <n v="4816"/>
    <n v="4452"/>
    <x v="134"/>
    <x v="2"/>
  </r>
  <r>
    <d v="2020-05-20T00:00:00"/>
    <x v="7"/>
    <n v="99631.5"/>
    <x v="173"/>
    <n v="36"/>
    <n v="5914"/>
    <n v="5384"/>
    <x v="135"/>
    <x v="2"/>
  </r>
  <r>
    <d v="2020-05-05T00:00:00"/>
    <x v="7"/>
    <n v="66396"/>
    <x v="174"/>
    <e v="#N/A"/>
    <e v="#N/A"/>
    <e v="#N/A"/>
    <x v="16"/>
    <x v="3"/>
  </r>
  <r>
    <d v="2020-04-28T00:00:00"/>
    <x v="7"/>
    <n v="73147.5"/>
    <x v="175"/>
    <e v="#N/A"/>
    <e v="#N/A"/>
    <e v="#N/A"/>
    <x v="16"/>
    <x v="4"/>
  </r>
  <r>
    <d v="2020-05-13T00:00:00"/>
    <x v="7"/>
    <n v="73062"/>
    <x v="176"/>
    <n v="36"/>
    <n v="4967"/>
    <n v="4583"/>
    <x v="136"/>
    <x v="1"/>
  </r>
  <r>
    <d v="2020-05-31T00:00:00"/>
    <x v="6"/>
    <n v="379663.5"/>
    <x v="177"/>
    <n v="124"/>
    <n v="21392"/>
    <n v="19869"/>
    <x v="137"/>
    <x v="0"/>
  </r>
  <r>
    <d v="2020-05-03T00:00:00"/>
    <x v="7"/>
    <n v="70581"/>
    <x v="178"/>
    <e v="#N/A"/>
    <e v="#N/A"/>
    <e v="#N/A"/>
    <x v="16"/>
    <x v="4"/>
  </r>
  <r>
    <d v="2020-05-30T00:00:00"/>
    <x v="6"/>
    <n v="453123"/>
    <x v="179"/>
    <n v="124"/>
    <n v="24325"/>
    <n v="22469"/>
    <x v="138"/>
    <x v="0"/>
  </r>
  <r>
    <d v="2020-05-06T00:00:00"/>
    <x v="7"/>
    <n v="63012"/>
    <x v="180"/>
    <e v="#N/A"/>
    <e v="#N/A"/>
    <e v="#N/A"/>
    <x v="16"/>
    <x v="3"/>
  </r>
  <r>
    <d v="2020-05-23T00:00:00"/>
    <x v="7"/>
    <n v="89556"/>
    <x v="181"/>
    <n v="36"/>
    <n v="5651"/>
    <n v="5212"/>
    <x v="139"/>
    <x v="2"/>
  </r>
  <r>
    <d v="2020-05-28T00:00:00"/>
    <x v="6"/>
    <n v="364638"/>
    <x v="182"/>
    <n v="124"/>
    <n v="20868"/>
    <n v="19342"/>
    <x v="140"/>
    <x v="0"/>
  </r>
  <r>
    <d v="2020-05-25T00:00:00"/>
    <x v="7"/>
    <n v="66316.5"/>
    <x v="183"/>
    <n v="36"/>
    <n v="4641"/>
    <n v="4274"/>
    <x v="141"/>
    <x v="0"/>
  </r>
  <r>
    <d v="2020-04-30T00:00:00"/>
    <x v="7"/>
    <n v="78235.5"/>
    <x v="184"/>
    <e v="#N/A"/>
    <e v="#N/A"/>
    <e v="#N/A"/>
    <x v="16"/>
    <x v="4"/>
  </r>
  <r>
    <d v="2020-05-10T00:00:00"/>
    <x v="7"/>
    <n v="88311"/>
    <x v="185"/>
    <e v="#N/A"/>
    <e v="#N/A"/>
    <e v="#N/A"/>
    <x v="16"/>
    <x v="3"/>
  </r>
  <r>
    <d v="2020-05-08T00:00:00"/>
    <x v="7"/>
    <n v="61804.5"/>
    <x v="186"/>
    <e v="#N/A"/>
    <e v="#N/A"/>
    <e v="#N/A"/>
    <x v="16"/>
    <x v="3"/>
  </r>
  <r>
    <d v="2020-05-07T00:00:00"/>
    <x v="7"/>
    <n v="71067"/>
    <x v="187"/>
    <e v="#N/A"/>
    <e v="#N/A"/>
    <e v="#N/A"/>
    <x v="16"/>
    <x v="3"/>
  </r>
  <r>
    <d v="2020-05-24T00:00:00"/>
    <x v="7"/>
    <n v="74649"/>
    <x v="188"/>
    <n v="36"/>
    <n v="4915"/>
    <n v="4562"/>
    <x v="142"/>
    <x v="2"/>
  </r>
  <r>
    <d v="2020-05-16T00:00:00"/>
    <x v="8"/>
    <n v="44560.5"/>
    <x v="189"/>
    <n v="21"/>
    <n v="2427"/>
    <n v="2213"/>
    <x v="143"/>
    <x v="1"/>
  </r>
  <r>
    <d v="2020-05-19T00:00:00"/>
    <x v="8"/>
    <n v="38250"/>
    <x v="190"/>
    <n v="21"/>
    <n v="2245"/>
    <n v="2053"/>
    <x v="144"/>
    <x v="2"/>
  </r>
  <r>
    <d v="2020-05-17T00:00:00"/>
    <x v="8"/>
    <n v="34830"/>
    <x v="191"/>
    <n v="21"/>
    <n v="2054"/>
    <n v="1883"/>
    <x v="145"/>
    <x v="1"/>
  </r>
  <r>
    <d v="2020-05-09T00:00:00"/>
    <x v="8"/>
    <n v="32239.5"/>
    <x v="192"/>
    <e v="#N/A"/>
    <e v="#N/A"/>
    <e v="#N/A"/>
    <x v="16"/>
    <x v="3"/>
  </r>
  <r>
    <d v="2020-05-04T00:00:00"/>
    <x v="8"/>
    <n v="30780"/>
    <x v="193"/>
    <e v="#N/A"/>
    <e v="#N/A"/>
    <e v="#N/A"/>
    <x v="16"/>
    <x v="3"/>
  </r>
  <r>
    <d v="2020-04-29T00:00:00"/>
    <x v="8"/>
    <n v="29142"/>
    <x v="194"/>
    <e v="#N/A"/>
    <e v="#N/A"/>
    <e v="#N/A"/>
    <x v="16"/>
    <x v="4"/>
  </r>
  <r>
    <d v="2020-05-02T00:00:00"/>
    <x v="8"/>
    <n v="26428.5"/>
    <x v="195"/>
    <e v="#N/A"/>
    <e v="#N/A"/>
    <e v="#N/A"/>
    <x v="16"/>
    <x v="4"/>
  </r>
  <r>
    <d v="2020-05-26T00:00:00"/>
    <x v="8"/>
    <n v="40744.5"/>
    <x v="196"/>
    <n v="21"/>
    <n v="2418"/>
    <n v="2215"/>
    <x v="146"/>
    <x v="0"/>
  </r>
  <r>
    <d v="2020-05-01T00:00:00"/>
    <x v="8"/>
    <n v="46620"/>
    <x v="197"/>
    <e v="#N/A"/>
    <e v="#N/A"/>
    <e v="#N/A"/>
    <x v="16"/>
    <x v="4"/>
  </r>
  <r>
    <d v="2020-05-12T00:00:00"/>
    <x v="8"/>
    <n v="32419.5"/>
    <x v="198"/>
    <e v="#N/A"/>
    <e v="#N/A"/>
    <e v="#N/A"/>
    <x v="16"/>
    <x v="1"/>
  </r>
  <r>
    <d v="2020-05-21T00:00:00"/>
    <x v="8"/>
    <n v="40819.5"/>
    <x v="199"/>
    <n v="21"/>
    <n v="2335"/>
    <n v="2126"/>
    <x v="147"/>
    <x v="2"/>
  </r>
  <r>
    <d v="2020-05-20T00:00:00"/>
    <x v="8"/>
    <n v="41391"/>
    <x v="200"/>
    <n v="21"/>
    <n v="2410"/>
    <n v="2202"/>
    <x v="148"/>
    <x v="2"/>
  </r>
  <r>
    <d v="2020-05-05T00:00:00"/>
    <x v="8"/>
    <n v="29482.5"/>
    <x v="201"/>
    <e v="#N/A"/>
    <e v="#N/A"/>
    <e v="#N/A"/>
    <x v="16"/>
    <x v="3"/>
  </r>
  <r>
    <d v="2020-04-28T00:00:00"/>
    <x v="8"/>
    <n v="32181"/>
    <x v="202"/>
    <e v="#N/A"/>
    <e v="#N/A"/>
    <e v="#N/A"/>
    <x v="16"/>
    <x v="4"/>
  </r>
  <r>
    <d v="2020-05-13T00:00:00"/>
    <x v="8"/>
    <n v="35535"/>
    <x v="203"/>
    <n v="21"/>
    <n v="2061"/>
    <n v="1876"/>
    <x v="149"/>
    <x v="1"/>
  </r>
  <r>
    <d v="2020-05-31T00:00:00"/>
    <x v="7"/>
    <n v="76234.5"/>
    <x v="204"/>
    <n v="37"/>
    <n v="5215"/>
    <n v="4848"/>
    <x v="150"/>
    <x v="0"/>
  </r>
  <r>
    <d v="2020-05-03T00:00:00"/>
    <x v="8"/>
    <n v="29935.5"/>
    <x v="205"/>
    <e v="#N/A"/>
    <e v="#N/A"/>
    <e v="#N/A"/>
    <x v="16"/>
    <x v="4"/>
  </r>
  <r>
    <d v="2020-05-30T00:00:00"/>
    <x v="7"/>
    <n v="106926"/>
    <x v="206"/>
    <n v="37"/>
    <n v="6645"/>
    <n v="6122"/>
    <x v="151"/>
    <x v="0"/>
  </r>
  <r>
    <d v="2020-05-06T00:00:00"/>
    <x v="8"/>
    <n v="30342"/>
    <x v="207"/>
    <e v="#N/A"/>
    <e v="#N/A"/>
    <e v="#N/A"/>
    <x v="16"/>
    <x v="3"/>
  </r>
  <r>
    <d v="2020-05-23T00:00:00"/>
    <x v="8"/>
    <n v="42999"/>
    <x v="208"/>
    <n v="21"/>
    <n v="2460"/>
    <n v="2226"/>
    <x v="152"/>
    <x v="2"/>
  </r>
  <r>
    <d v="2020-05-28T00:00:00"/>
    <x v="7"/>
    <n v="69945"/>
    <x v="209"/>
    <n v="37"/>
    <n v="4840"/>
    <n v="4475"/>
    <x v="153"/>
    <x v="0"/>
  </r>
  <r>
    <d v="2020-05-25T00:00:00"/>
    <x v="8"/>
    <n v="38740.5"/>
    <x v="210"/>
    <n v="21"/>
    <n v="2330"/>
    <n v="2142"/>
    <x v="154"/>
    <x v="0"/>
  </r>
  <r>
    <d v="2020-04-30T00:00:00"/>
    <x v="8"/>
    <n v="31231.5"/>
    <x v="211"/>
    <e v="#N/A"/>
    <e v="#N/A"/>
    <e v="#N/A"/>
    <x v="16"/>
    <x v="4"/>
  </r>
  <r>
    <d v="2020-05-10T00:00:00"/>
    <x v="8"/>
    <n v="37489.5"/>
    <x v="212"/>
    <e v="#N/A"/>
    <e v="#N/A"/>
    <e v="#N/A"/>
    <x v="16"/>
    <x v="3"/>
  </r>
  <r>
    <d v="2020-05-08T00:00:00"/>
    <x v="8"/>
    <n v="34399.5"/>
    <x v="213"/>
    <e v="#N/A"/>
    <e v="#N/A"/>
    <e v="#N/A"/>
    <x v="16"/>
    <x v="3"/>
  </r>
  <r>
    <d v="2020-05-07T00:00:00"/>
    <x v="8"/>
    <n v="32851.5"/>
    <x v="214"/>
    <e v="#N/A"/>
    <e v="#N/A"/>
    <e v="#N/A"/>
    <x v="16"/>
    <x v="3"/>
  </r>
  <r>
    <d v="2020-05-24T00:00:00"/>
    <x v="8"/>
    <n v="38194.5"/>
    <x v="215"/>
    <n v="21"/>
    <n v="2254"/>
    <n v="2061"/>
    <x v="155"/>
    <x v="2"/>
  </r>
  <r>
    <d v="2020-05-31T00:00:00"/>
    <x v="8"/>
    <n v="42423"/>
    <x v="216"/>
    <n v="23"/>
    <n v="2522"/>
    <n v="2295"/>
    <x v="156"/>
    <x v="0"/>
  </r>
  <r>
    <d v="2020-05-30T00:00:00"/>
    <x v="8"/>
    <n v="48286.5"/>
    <x v="217"/>
    <n v="22"/>
    <n v="2793"/>
    <n v="2539"/>
    <x v="157"/>
    <x v="0"/>
  </r>
  <r>
    <d v="2020-05-28T00:00:00"/>
    <x v="8"/>
    <n v="41442"/>
    <x v="218"/>
    <n v="22"/>
    <n v="2454"/>
    <n v="2239"/>
    <x v="158"/>
    <x v="0"/>
  </r>
  <r>
    <d v="2020-05-16T00:00:00"/>
    <x v="9"/>
    <n v="18600"/>
    <x v="219"/>
    <n v="15"/>
    <n v="1111"/>
    <n v="992"/>
    <x v="159"/>
    <x v="1"/>
  </r>
  <r>
    <d v="2020-05-19T00:00:00"/>
    <x v="9"/>
    <n v="16638"/>
    <x v="220"/>
    <n v="16"/>
    <n v="1012"/>
    <n v="900"/>
    <x v="160"/>
    <x v="2"/>
  </r>
  <r>
    <d v="2020-05-17T00:00:00"/>
    <x v="9"/>
    <n v="15609"/>
    <x v="221"/>
    <n v="15"/>
    <n v="971"/>
    <n v="856"/>
    <x v="161"/>
    <x v="1"/>
  </r>
  <r>
    <d v="2020-05-09T00:00:00"/>
    <x v="9"/>
    <n v="13948.5"/>
    <x v="222"/>
    <e v="#N/A"/>
    <e v="#N/A"/>
    <e v="#N/A"/>
    <x v="16"/>
    <x v="3"/>
  </r>
  <r>
    <d v="2020-05-04T00:00:00"/>
    <x v="9"/>
    <n v="12301.5"/>
    <x v="223"/>
    <e v="#N/A"/>
    <e v="#N/A"/>
    <e v="#N/A"/>
    <x v="16"/>
    <x v="3"/>
  </r>
  <r>
    <d v="2020-04-29T00:00:00"/>
    <x v="9"/>
    <n v="13014"/>
    <x v="224"/>
    <e v="#N/A"/>
    <e v="#N/A"/>
    <e v="#N/A"/>
    <x v="16"/>
    <x v="4"/>
  </r>
  <r>
    <d v="2020-05-02T00:00:00"/>
    <x v="9"/>
    <n v="12313.5"/>
    <x v="225"/>
    <e v="#N/A"/>
    <e v="#N/A"/>
    <e v="#N/A"/>
    <x v="16"/>
    <x v="4"/>
  </r>
  <r>
    <d v="2020-05-26T00:00:00"/>
    <x v="9"/>
    <n v="17391"/>
    <x v="226"/>
    <n v="17"/>
    <n v="1140"/>
    <n v="1016"/>
    <x v="162"/>
    <x v="0"/>
  </r>
  <r>
    <d v="2020-05-01T00:00:00"/>
    <x v="9"/>
    <n v="17113.5"/>
    <x v="227"/>
    <e v="#N/A"/>
    <e v="#N/A"/>
    <e v="#N/A"/>
    <x v="16"/>
    <x v="4"/>
  </r>
  <r>
    <d v="2020-05-12T00:00:00"/>
    <x v="9"/>
    <n v="12802.5"/>
    <x v="228"/>
    <e v="#N/A"/>
    <e v="#N/A"/>
    <e v="#N/A"/>
    <x v="16"/>
    <x v="1"/>
  </r>
  <r>
    <d v="2020-05-21T00:00:00"/>
    <x v="9"/>
    <n v="16554"/>
    <x v="229"/>
    <n v="17"/>
    <n v="1045"/>
    <n v="930"/>
    <x v="163"/>
    <x v="2"/>
  </r>
  <r>
    <d v="2020-05-20T00:00:00"/>
    <x v="9"/>
    <n v="17329.5"/>
    <x v="230"/>
    <n v="16"/>
    <n v="1050"/>
    <n v="938"/>
    <x v="164"/>
    <x v="2"/>
  </r>
  <r>
    <d v="2020-05-05T00:00:00"/>
    <x v="9"/>
    <n v="15987"/>
    <x v="231"/>
    <e v="#N/A"/>
    <e v="#N/A"/>
    <e v="#N/A"/>
    <x v="16"/>
    <x v="3"/>
  </r>
  <r>
    <d v="2020-04-28T00:00:00"/>
    <x v="9"/>
    <n v="13303.5"/>
    <x v="232"/>
    <e v="#N/A"/>
    <e v="#N/A"/>
    <e v="#N/A"/>
    <x v="16"/>
    <x v="4"/>
  </r>
  <r>
    <d v="2020-05-13T00:00:00"/>
    <x v="9"/>
    <n v="14305.5"/>
    <x v="233"/>
    <e v="#N/A"/>
    <e v="#N/A"/>
    <e v="#N/A"/>
    <x v="16"/>
    <x v="1"/>
  </r>
  <r>
    <d v="2020-05-03T00:00:00"/>
    <x v="9"/>
    <n v="12924"/>
    <x v="234"/>
    <e v="#N/A"/>
    <e v="#N/A"/>
    <e v="#N/A"/>
    <x v="16"/>
    <x v="4"/>
  </r>
  <r>
    <d v="2020-05-06T00:00:00"/>
    <x v="9"/>
    <n v="14061"/>
    <x v="235"/>
    <e v="#N/A"/>
    <e v="#N/A"/>
    <e v="#N/A"/>
    <x v="16"/>
    <x v="3"/>
  </r>
  <r>
    <d v="2020-05-23T00:00:00"/>
    <x v="9"/>
    <n v="21958.5"/>
    <x v="236"/>
    <n v="17"/>
    <n v="1294"/>
    <n v="1155"/>
    <x v="165"/>
    <x v="2"/>
  </r>
  <r>
    <d v="2020-05-25T00:00:00"/>
    <x v="9"/>
    <n v="17211"/>
    <x v="237"/>
    <n v="17"/>
    <n v="1142"/>
    <n v="1020"/>
    <x v="166"/>
    <x v="0"/>
  </r>
  <r>
    <d v="2020-04-30T00:00:00"/>
    <x v="9"/>
    <n v="12753"/>
    <x v="238"/>
    <e v="#N/A"/>
    <e v="#N/A"/>
    <e v="#N/A"/>
    <x v="16"/>
    <x v="4"/>
  </r>
  <r>
    <d v="2020-05-10T00:00:00"/>
    <x v="9"/>
    <n v="16435.5"/>
    <x v="239"/>
    <e v="#N/A"/>
    <e v="#N/A"/>
    <e v="#N/A"/>
    <x v="16"/>
    <x v="3"/>
  </r>
  <r>
    <d v="2020-05-08T00:00:00"/>
    <x v="9"/>
    <n v="14494.5"/>
    <x v="240"/>
    <e v="#N/A"/>
    <e v="#N/A"/>
    <e v="#N/A"/>
    <x v="16"/>
    <x v="3"/>
  </r>
  <r>
    <d v="2020-05-07T00:00:00"/>
    <x v="9"/>
    <n v="12705"/>
    <x v="241"/>
    <e v="#N/A"/>
    <e v="#N/A"/>
    <e v="#N/A"/>
    <x v="16"/>
    <x v="3"/>
  </r>
  <r>
    <d v="2020-05-24T00:00:00"/>
    <x v="9"/>
    <n v="18075"/>
    <x v="242"/>
    <n v="17"/>
    <n v="1128"/>
    <n v="1001"/>
    <x v="167"/>
    <x v="2"/>
  </r>
  <r>
    <d v="2020-05-16T00:00:00"/>
    <x v="10"/>
    <n v="13120.5"/>
    <x v="243"/>
    <n v="15"/>
    <n v="747"/>
    <n v="647"/>
    <x v="168"/>
    <x v="1"/>
  </r>
  <r>
    <d v="2020-05-19T00:00:00"/>
    <x v="10"/>
    <n v="16237.5"/>
    <x v="244"/>
    <n v="15"/>
    <n v="930"/>
    <n v="827"/>
    <x v="169"/>
    <x v="2"/>
  </r>
  <r>
    <d v="2020-05-17T00:00:00"/>
    <x v="10"/>
    <n v="11967"/>
    <x v="245"/>
    <n v="15"/>
    <n v="692"/>
    <n v="591"/>
    <x v="170"/>
    <x v="1"/>
  </r>
  <r>
    <d v="2020-05-09T00:00:00"/>
    <x v="10"/>
    <n v="12037.5"/>
    <x v="246"/>
    <e v="#N/A"/>
    <e v="#N/A"/>
    <e v="#N/A"/>
    <x v="16"/>
    <x v="3"/>
  </r>
  <r>
    <d v="2020-05-04T00:00:00"/>
    <x v="10"/>
    <n v="7087.5"/>
    <x v="247"/>
    <e v="#N/A"/>
    <e v="#N/A"/>
    <e v="#N/A"/>
    <x v="16"/>
    <x v="3"/>
  </r>
  <r>
    <d v="2020-04-29T00:00:00"/>
    <x v="11"/>
    <n v="25816.5"/>
    <x v="248"/>
    <e v="#N/A"/>
    <e v="#N/A"/>
    <e v="#N/A"/>
    <x v="16"/>
    <x v="4"/>
  </r>
  <r>
    <d v="2020-05-02T00:00:00"/>
    <x v="10"/>
    <n v="4624.5"/>
    <x v="249"/>
    <e v="#N/A"/>
    <e v="#N/A"/>
    <e v="#N/A"/>
    <x v="16"/>
    <x v="4"/>
  </r>
  <r>
    <d v="2020-05-26T00:00:00"/>
    <x v="10"/>
    <n v="12259.5"/>
    <x v="250"/>
    <n v="15"/>
    <n v="812"/>
    <n v="711"/>
    <x v="171"/>
    <x v="0"/>
  </r>
  <r>
    <d v="2020-05-01T00:00:00"/>
    <x v="10"/>
    <n v="5446.5"/>
    <x v="251"/>
    <e v="#N/A"/>
    <e v="#N/A"/>
    <e v="#N/A"/>
    <x v="16"/>
    <x v="4"/>
  </r>
  <r>
    <d v="2020-05-12T00:00:00"/>
    <x v="10"/>
    <n v="11296.5"/>
    <x v="252"/>
    <e v="#N/A"/>
    <e v="#N/A"/>
    <e v="#N/A"/>
    <x v="16"/>
    <x v="1"/>
  </r>
  <r>
    <d v="2020-05-21T00:00:00"/>
    <x v="10"/>
    <n v="12135"/>
    <x v="253"/>
    <n v="15"/>
    <n v="749"/>
    <n v="652"/>
    <x v="172"/>
    <x v="2"/>
  </r>
  <r>
    <d v="2020-05-20T00:00:00"/>
    <x v="10"/>
    <n v="12630"/>
    <x v="254"/>
    <n v="15"/>
    <n v="760"/>
    <n v="664"/>
    <x v="173"/>
    <x v="2"/>
  </r>
  <r>
    <d v="2020-05-05T00:00:00"/>
    <x v="10"/>
    <n v="8223"/>
    <x v="255"/>
    <e v="#N/A"/>
    <e v="#N/A"/>
    <e v="#N/A"/>
    <x v="16"/>
    <x v="3"/>
  </r>
  <r>
    <d v="2020-04-28T00:00:00"/>
    <x v="11"/>
    <n v="25149"/>
    <x v="256"/>
    <e v="#N/A"/>
    <e v="#N/A"/>
    <e v="#N/A"/>
    <x v="16"/>
    <x v="4"/>
  </r>
  <r>
    <d v="2020-05-13T00:00:00"/>
    <x v="10"/>
    <n v="10401"/>
    <x v="257"/>
    <e v="#N/A"/>
    <e v="#N/A"/>
    <e v="#N/A"/>
    <x v="16"/>
    <x v="1"/>
  </r>
  <r>
    <d v="2020-05-31T00:00:00"/>
    <x v="9"/>
    <n v="17689.5"/>
    <x v="258"/>
    <n v="17"/>
    <n v="1186"/>
    <n v="1054"/>
    <x v="174"/>
    <x v="0"/>
  </r>
  <r>
    <d v="2020-05-03T00:00:00"/>
    <x v="10"/>
    <n v="8127"/>
    <x v="259"/>
    <e v="#N/A"/>
    <e v="#N/A"/>
    <e v="#N/A"/>
    <x v="16"/>
    <x v="4"/>
  </r>
  <r>
    <d v="2020-05-30T00:00:00"/>
    <x v="9"/>
    <n v="27250.5"/>
    <x v="260"/>
    <n v="17"/>
    <n v="1697"/>
    <n v="1499"/>
    <x v="175"/>
    <x v="0"/>
  </r>
  <r>
    <d v="2020-05-06T00:00:00"/>
    <x v="10"/>
    <n v="8464.5"/>
    <x v="261"/>
    <e v="#N/A"/>
    <e v="#N/A"/>
    <e v="#N/A"/>
    <x v="16"/>
    <x v="3"/>
  </r>
  <r>
    <d v="2020-05-23T00:00:00"/>
    <x v="10"/>
    <n v="14167.5"/>
    <x v="262"/>
    <n v="15"/>
    <n v="840"/>
    <n v="725"/>
    <x v="176"/>
    <x v="2"/>
  </r>
  <r>
    <d v="2020-05-28T00:00:00"/>
    <x v="9"/>
    <n v="16500"/>
    <x v="263"/>
    <n v="17"/>
    <n v="1097"/>
    <n v="968"/>
    <x v="177"/>
    <x v="0"/>
  </r>
  <r>
    <d v="2020-05-25T00:00:00"/>
    <x v="10"/>
    <n v="13260"/>
    <x v="264"/>
    <n v="15"/>
    <n v="835"/>
    <n v="736"/>
    <x v="178"/>
    <x v="0"/>
  </r>
  <r>
    <d v="2020-04-30T00:00:00"/>
    <x v="10"/>
    <n v="4285.5"/>
    <x v="265"/>
    <e v="#N/A"/>
    <e v="#N/A"/>
    <e v="#N/A"/>
    <x v="16"/>
    <x v="4"/>
  </r>
  <r>
    <d v="2020-05-10T00:00:00"/>
    <x v="10"/>
    <n v="13440"/>
    <x v="266"/>
    <e v="#N/A"/>
    <e v="#N/A"/>
    <e v="#N/A"/>
    <x v="16"/>
    <x v="3"/>
  </r>
  <r>
    <d v="2020-05-08T00:00:00"/>
    <x v="10"/>
    <n v="9058.5"/>
    <x v="267"/>
    <e v="#N/A"/>
    <e v="#N/A"/>
    <e v="#N/A"/>
    <x v="16"/>
    <x v="3"/>
  </r>
  <r>
    <d v="2020-05-07T00:00:00"/>
    <x v="10"/>
    <n v="8719.5"/>
    <x v="268"/>
    <e v="#N/A"/>
    <e v="#N/A"/>
    <e v="#N/A"/>
    <x v="16"/>
    <x v="3"/>
  </r>
  <r>
    <d v="2020-05-24T00:00:00"/>
    <x v="10"/>
    <n v="12666"/>
    <x v="269"/>
    <n v="15"/>
    <n v="779"/>
    <n v="673"/>
    <x v="179"/>
    <x v="2"/>
  </r>
  <r>
    <d v="2020-05-16T00:00:00"/>
    <x v="11"/>
    <n v="34563"/>
    <x v="270"/>
    <e v="#N/A"/>
    <e v="#N/A"/>
    <e v="#N/A"/>
    <x v="16"/>
    <x v="1"/>
  </r>
  <r>
    <d v="2020-05-19T00:00:00"/>
    <x v="11"/>
    <n v="28882.5"/>
    <x v="271"/>
    <n v="19"/>
    <n v="1831"/>
    <n v="1667"/>
    <x v="180"/>
    <x v="2"/>
  </r>
  <r>
    <d v="2020-05-17T00:00:00"/>
    <x v="11"/>
    <n v="28275"/>
    <x v="272"/>
    <e v="#N/A"/>
    <e v="#N/A"/>
    <e v="#N/A"/>
    <x v="16"/>
    <x v="1"/>
  </r>
  <r>
    <d v="2020-05-09T00:00:00"/>
    <x v="11"/>
    <n v="26271"/>
    <x v="273"/>
    <e v="#N/A"/>
    <e v="#N/A"/>
    <e v="#N/A"/>
    <x v="16"/>
    <x v="3"/>
  </r>
  <r>
    <d v="2020-05-04T00:00:00"/>
    <x v="11"/>
    <n v="23587.5"/>
    <x v="274"/>
    <e v="#N/A"/>
    <e v="#N/A"/>
    <e v="#N/A"/>
    <x v="16"/>
    <x v="3"/>
  </r>
  <r>
    <d v="2020-05-02T00:00:00"/>
    <x v="11"/>
    <n v="18427.5"/>
    <x v="275"/>
    <e v="#N/A"/>
    <e v="#N/A"/>
    <e v="#N/A"/>
    <x v="16"/>
    <x v="4"/>
  </r>
  <r>
    <d v="2020-05-26T00:00:00"/>
    <x v="11"/>
    <n v="27156"/>
    <x v="276"/>
    <n v="20"/>
    <n v="1814"/>
    <n v="1655"/>
    <x v="181"/>
    <x v="0"/>
  </r>
  <r>
    <d v="2020-05-01T00:00:00"/>
    <x v="11"/>
    <n v="35190"/>
    <x v="277"/>
    <e v="#N/A"/>
    <e v="#N/A"/>
    <e v="#N/A"/>
    <x v="16"/>
    <x v="4"/>
  </r>
  <r>
    <d v="2020-05-12T00:00:00"/>
    <x v="11"/>
    <n v="25483.5"/>
    <x v="278"/>
    <e v="#N/A"/>
    <e v="#N/A"/>
    <e v="#N/A"/>
    <x v="16"/>
    <x v="1"/>
  </r>
  <r>
    <d v="2020-05-21T00:00:00"/>
    <x v="11"/>
    <n v="25362"/>
    <x v="279"/>
    <n v="19"/>
    <n v="1650"/>
    <n v="1505"/>
    <x v="182"/>
    <x v="2"/>
  </r>
  <r>
    <d v="2020-05-20T00:00:00"/>
    <x v="11"/>
    <n v="28849.5"/>
    <x v="280"/>
    <n v="19"/>
    <n v="1823"/>
    <n v="1678"/>
    <x v="183"/>
    <x v="2"/>
  </r>
  <r>
    <d v="2020-05-05T00:00:00"/>
    <x v="11"/>
    <n v="26367"/>
    <x v="281"/>
    <e v="#N/A"/>
    <e v="#N/A"/>
    <e v="#N/A"/>
    <x v="16"/>
    <x v="3"/>
  </r>
  <r>
    <d v="2020-05-13T00:00:00"/>
    <x v="11"/>
    <n v="25539"/>
    <x v="282"/>
    <e v="#N/A"/>
    <e v="#N/A"/>
    <e v="#N/A"/>
    <x v="16"/>
    <x v="1"/>
  </r>
  <r>
    <d v="2020-05-31T00:00:00"/>
    <x v="10"/>
    <n v="14808"/>
    <x v="283"/>
    <n v="16"/>
    <n v="917"/>
    <n v="802"/>
    <x v="184"/>
    <x v="0"/>
  </r>
  <r>
    <d v="2020-05-03T00:00:00"/>
    <x v="11"/>
    <n v="21343.5"/>
    <x v="284"/>
    <e v="#N/A"/>
    <e v="#N/A"/>
    <e v="#N/A"/>
    <x v="16"/>
    <x v="4"/>
  </r>
  <r>
    <d v="2020-05-30T00:00:00"/>
    <x v="10"/>
    <n v="17946"/>
    <x v="285"/>
    <n v="16"/>
    <n v="1048"/>
    <n v="918"/>
    <x v="185"/>
    <x v="0"/>
  </r>
  <r>
    <d v="2020-05-06T00:00:00"/>
    <x v="11"/>
    <n v="24337.5"/>
    <x v="286"/>
    <e v="#N/A"/>
    <e v="#N/A"/>
    <e v="#N/A"/>
    <x v="16"/>
    <x v="3"/>
  </r>
  <r>
    <d v="2020-05-23T00:00:00"/>
    <x v="11"/>
    <n v="36997.5"/>
    <x v="287"/>
    <n v="19"/>
    <n v="2195"/>
    <n v="1999"/>
    <x v="186"/>
    <x v="2"/>
  </r>
  <r>
    <d v="2020-05-28T00:00:00"/>
    <x v="10"/>
    <n v="13864.5"/>
    <x v="288"/>
    <n v="16"/>
    <n v="876"/>
    <n v="762"/>
    <x v="187"/>
    <x v="0"/>
  </r>
  <r>
    <d v="2020-05-25T00:00:00"/>
    <x v="11"/>
    <n v="28494"/>
    <x v="289"/>
    <n v="20"/>
    <n v="1899"/>
    <n v="1738"/>
    <x v="188"/>
    <x v="0"/>
  </r>
  <r>
    <d v="2020-04-30T00:00:00"/>
    <x v="11"/>
    <n v="27883.5"/>
    <x v="290"/>
    <e v="#N/A"/>
    <e v="#N/A"/>
    <e v="#N/A"/>
    <x v="16"/>
    <x v="4"/>
  </r>
  <r>
    <d v="2020-05-10T00:00:00"/>
    <x v="11"/>
    <n v="31224"/>
    <x v="291"/>
    <e v="#N/A"/>
    <e v="#N/A"/>
    <e v="#N/A"/>
    <x v="16"/>
    <x v="3"/>
  </r>
  <r>
    <d v="2020-05-08T00:00:00"/>
    <x v="11"/>
    <n v="25020"/>
    <x v="292"/>
    <e v="#N/A"/>
    <e v="#N/A"/>
    <e v="#N/A"/>
    <x v="16"/>
    <x v="3"/>
  </r>
  <r>
    <d v="2020-05-07T00:00:00"/>
    <x v="11"/>
    <n v="26184"/>
    <x v="293"/>
    <e v="#N/A"/>
    <e v="#N/A"/>
    <e v="#N/A"/>
    <x v="16"/>
    <x v="3"/>
  </r>
  <r>
    <d v="2020-05-24T00:00:00"/>
    <x v="11"/>
    <n v="29824.5"/>
    <x v="294"/>
    <n v="19"/>
    <n v="1868"/>
    <n v="1706"/>
    <x v="189"/>
    <x v="2"/>
  </r>
  <r>
    <d v="2020-04-29T00:00:00"/>
    <x v="12"/>
    <n v="208351.5"/>
    <x v="295"/>
    <e v="#N/A"/>
    <e v="#N/A"/>
    <e v="#N/A"/>
    <x v="16"/>
    <x v="4"/>
  </r>
  <r>
    <d v="2020-04-28T00:00:00"/>
    <x v="12"/>
    <n v="204637.5"/>
    <x v="296"/>
    <e v="#N/A"/>
    <e v="#N/A"/>
    <e v="#N/A"/>
    <x v="16"/>
    <x v="4"/>
  </r>
  <r>
    <d v="2020-05-31T00:00:00"/>
    <x v="11"/>
    <n v="31372.5"/>
    <x v="297"/>
    <n v="21"/>
    <n v="2056"/>
    <n v="1879"/>
    <x v="190"/>
    <x v="0"/>
  </r>
  <r>
    <d v="2020-05-30T00:00:00"/>
    <x v="11"/>
    <n v="34681.5"/>
    <x v="298"/>
    <n v="20"/>
    <n v="2174"/>
    <n v="1957"/>
    <x v="191"/>
    <x v="0"/>
  </r>
  <r>
    <d v="2020-05-28T00:00:00"/>
    <x v="11"/>
    <n v="28197"/>
    <x v="299"/>
    <n v="20"/>
    <n v="1875"/>
    <n v="1701"/>
    <x v="192"/>
    <x v="0"/>
  </r>
  <r>
    <d v="2020-05-16T00:00:00"/>
    <x v="12"/>
    <n v="236551.5"/>
    <x v="300"/>
    <e v="#N/A"/>
    <e v="#N/A"/>
    <e v="#N/A"/>
    <x v="16"/>
    <x v="1"/>
  </r>
  <r>
    <d v="2020-05-19T00:00:00"/>
    <x v="12"/>
    <n v="223597.5"/>
    <x v="301"/>
    <e v="#N/A"/>
    <e v="#N/A"/>
    <e v="#N/A"/>
    <x v="16"/>
    <x v="2"/>
  </r>
  <r>
    <d v="2020-05-17T00:00:00"/>
    <x v="12"/>
    <n v="193363.5"/>
    <x v="302"/>
    <e v="#N/A"/>
    <e v="#N/A"/>
    <e v="#N/A"/>
    <x v="16"/>
    <x v="1"/>
  </r>
  <r>
    <d v="2020-05-09T00:00:00"/>
    <x v="12"/>
    <n v="188319"/>
    <x v="303"/>
    <e v="#N/A"/>
    <e v="#N/A"/>
    <e v="#N/A"/>
    <x v="16"/>
    <x v="3"/>
  </r>
  <r>
    <d v="2020-05-04T00:00:00"/>
    <x v="12"/>
    <n v="237544.5"/>
    <x v="304"/>
    <e v="#N/A"/>
    <e v="#N/A"/>
    <e v="#N/A"/>
    <x v="16"/>
    <x v="3"/>
  </r>
  <r>
    <d v="2020-04-29T00:00:00"/>
    <x v="13"/>
    <n v="203209.5"/>
    <x v="305"/>
    <e v="#N/A"/>
    <e v="#N/A"/>
    <e v="#N/A"/>
    <x v="16"/>
    <x v="4"/>
  </r>
  <r>
    <d v="2020-05-02T00:00:00"/>
    <x v="12"/>
    <n v="185979"/>
    <x v="306"/>
    <e v="#N/A"/>
    <e v="#N/A"/>
    <e v="#N/A"/>
    <x v="16"/>
    <x v="4"/>
  </r>
  <r>
    <d v="2020-05-26T00:00:00"/>
    <x v="12"/>
    <n v="244905"/>
    <x v="307"/>
    <n v="59"/>
    <n v="15369"/>
    <n v="14299"/>
    <x v="193"/>
    <x v="0"/>
  </r>
  <r>
    <d v="2020-05-01T00:00:00"/>
    <x v="12"/>
    <n v="239409"/>
    <x v="308"/>
    <e v="#N/A"/>
    <e v="#N/A"/>
    <e v="#N/A"/>
    <x v="16"/>
    <x v="4"/>
  </r>
  <r>
    <d v="2020-05-12T00:00:00"/>
    <x v="12"/>
    <n v="192886.5"/>
    <x v="309"/>
    <e v="#N/A"/>
    <e v="#N/A"/>
    <e v="#N/A"/>
    <x v="16"/>
    <x v="1"/>
  </r>
  <r>
    <d v="2020-05-21T00:00:00"/>
    <x v="12"/>
    <n v="224233.5"/>
    <x v="310"/>
    <n v="60"/>
    <n v="14005"/>
    <n v="13002"/>
    <x v="194"/>
    <x v="2"/>
  </r>
  <r>
    <d v="2020-05-20T00:00:00"/>
    <x v="12"/>
    <n v="219622.5"/>
    <x v="311"/>
    <n v="60"/>
    <n v="13792"/>
    <n v="12834"/>
    <x v="195"/>
    <x v="2"/>
  </r>
  <r>
    <d v="2020-05-05T00:00:00"/>
    <x v="12"/>
    <n v="213582"/>
    <x v="312"/>
    <e v="#N/A"/>
    <e v="#N/A"/>
    <e v="#N/A"/>
    <x v="16"/>
    <x v="3"/>
  </r>
  <r>
    <d v="2020-04-28T00:00:00"/>
    <x v="13"/>
    <n v="195705"/>
    <x v="313"/>
    <e v="#N/A"/>
    <e v="#N/A"/>
    <e v="#N/A"/>
    <x v="16"/>
    <x v="4"/>
  </r>
  <r>
    <d v="2020-05-13T00:00:00"/>
    <x v="12"/>
    <n v="193722"/>
    <x v="314"/>
    <e v="#N/A"/>
    <e v="#N/A"/>
    <e v="#N/A"/>
    <x v="16"/>
    <x v="1"/>
  </r>
  <r>
    <d v="2020-05-03T00:00:00"/>
    <x v="12"/>
    <n v="257215.5"/>
    <x v="315"/>
    <e v="#N/A"/>
    <e v="#N/A"/>
    <e v="#N/A"/>
    <x v="16"/>
    <x v="4"/>
  </r>
  <r>
    <d v="2020-05-06T00:00:00"/>
    <x v="12"/>
    <n v="224779.5"/>
    <x v="316"/>
    <e v="#N/A"/>
    <e v="#N/A"/>
    <e v="#N/A"/>
    <x v="16"/>
    <x v="3"/>
  </r>
  <r>
    <d v="2020-05-23T00:00:00"/>
    <x v="12"/>
    <n v="292018.5"/>
    <x v="317"/>
    <n v="60"/>
    <n v="17295"/>
    <n v="16010"/>
    <x v="196"/>
    <x v="2"/>
  </r>
  <r>
    <d v="2020-05-25T00:00:00"/>
    <x v="12"/>
    <n v="198751.5"/>
    <x v="318"/>
    <n v="59"/>
    <n v="12983"/>
    <n v="12056"/>
    <x v="197"/>
    <x v="0"/>
  </r>
  <r>
    <d v="2020-04-30T00:00:00"/>
    <x v="12"/>
    <n v="214386"/>
    <x v="319"/>
    <e v="#N/A"/>
    <e v="#N/A"/>
    <e v="#N/A"/>
    <x v="16"/>
    <x v="4"/>
  </r>
  <r>
    <d v="2020-05-10T00:00:00"/>
    <x v="12"/>
    <n v="243825"/>
    <x v="320"/>
    <e v="#N/A"/>
    <e v="#N/A"/>
    <e v="#N/A"/>
    <x v="16"/>
    <x v="3"/>
  </r>
  <r>
    <d v="2020-05-08T00:00:00"/>
    <x v="12"/>
    <n v="232701"/>
    <x v="321"/>
    <e v="#N/A"/>
    <e v="#N/A"/>
    <e v="#N/A"/>
    <x v="16"/>
    <x v="3"/>
  </r>
  <r>
    <d v="2020-05-07T00:00:00"/>
    <x v="12"/>
    <n v="219411"/>
    <x v="322"/>
    <e v="#N/A"/>
    <e v="#N/A"/>
    <e v="#N/A"/>
    <x v="16"/>
    <x v="3"/>
  </r>
  <r>
    <d v="2020-05-24T00:00:00"/>
    <x v="12"/>
    <n v="200029.5"/>
    <x v="323"/>
    <n v="60"/>
    <n v="12822"/>
    <n v="11916"/>
    <x v="198"/>
    <x v="2"/>
  </r>
  <r>
    <d v="2020-05-16T00:00:00"/>
    <x v="13"/>
    <n v="225480"/>
    <x v="324"/>
    <e v="#N/A"/>
    <e v="#N/A"/>
    <e v="#N/A"/>
    <x v="16"/>
    <x v="1"/>
  </r>
  <r>
    <d v="2020-05-19T00:00:00"/>
    <x v="13"/>
    <n v="211453.5"/>
    <x v="325"/>
    <e v="#N/A"/>
    <e v="#N/A"/>
    <e v="#N/A"/>
    <x v="16"/>
    <x v="2"/>
  </r>
  <r>
    <d v="2020-05-17T00:00:00"/>
    <x v="13"/>
    <n v="184801.5"/>
    <x v="326"/>
    <e v="#N/A"/>
    <e v="#N/A"/>
    <e v="#N/A"/>
    <x v="16"/>
    <x v="1"/>
  </r>
  <r>
    <d v="2020-05-09T00:00:00"/>
    <x v="13"/>
    <n v="177976.5"/>
    <x v="327"/>
    <e v="#N/A"/>
    <e v="#N/A"/>
    <e v="#N/A"/>
    <x v="16"/>
    <x v="3"/>
  </r>
  <r>
    <d v="2020-05-04T00:00:00"/>
    <x v="13"/>
    <n v="223617"/>
    <x v="328"/>
    <e v="#N/A"/>
    <e v="#N/A"/>
    <e v="#N/A"/>
    <x v="16"/>
    <x v="3"/>
  </r>
  <r>
    <d v="2020-05-02T00:00:00"/>
    <x v="13"/>
    <n v="176397"/>
    <x v="329"/>
    <e v="#N/A"/>
    <e v="#N/A"/>
    <e v="#N/A"/>
    <x v="16"/>
    <x v="4"/>
  </r>
  <r>
    <d v="2020-05-26T00:00:00"/>
    <x v="13"/>
    <n v="232369.5"/>
    <x v="330"/>
    <n v="54"/>
    <n v="14482"/>
    <n v="13510"/>
    <x v="199"/>
    <x v="0"/>
  </r>
  <r>
    <d v="2020-05-01T00:00:00"/>
    <x v="13"/>
    <n v="226540.5"/>
    <x v="331"/>
    <e v="#N/A"/>
    <e v="#N/A"/>
    <e v="#N/A"/>
    <x v="16"/>
    <x v="4"/>
  </r>
  <r>
    <d v="2020-05-12T00:00:00"/>
    <x v="13"/>
    <n v="189679.5"/>
    <x v="332"/>
    <e v="#N/A"/>
    <e v="#N/A"/>
    <e v="#N/A"/>
    <x v="16"/>
    <x v="1"/>
  </r>
  <r>
    <d v="2020-05-21T00:00:00"/>
    <x v="13"/>
    <n v="213640.5"/>
    <x v="333"/>
    <e v="#N/A"/>
    <e v="#N/A"/>
    <e v="#N/A"/>
    <x v="16"/>
    <x v="2"/>
  </r>
  <r>
    <d v="2020-05-20T00:00:00"/>
    <x v="13"/>
    <n v="214885.5"/>
    <x v="334"/>
    <e v="#N/A"/>
    <e v="#N/A"/>
    <e v="#N/A"/>
    <x v="16"/>
    <x v="2"/>
  </r>
  <r>
    <d v="2020-05-05T00:00:00"/>
    <x v="13"/>
    <n v="203832"/>
    <x v="335"/>
    <e v="#N/A"/>
    <e v="#N/A"/>
    <e v="#N/A"/>
    <x v="16"/>
    <x v="3"/>
  </r>
  <r>
    <d v="2020-05-13T00:00:00"/>
    <x v="13"/>
    <n v="188662.5"/>
    <x v="336"/>
    <e v="#N/A"/>
    <e v="#N/A"/>
    <e v="#N/A"/>
    <x v="16"/>
    <x v="1"/>
  </r>
  <r>
    <d v="2020-05-31T00:00:00"/>
    <x v="12"/>
    <n v="215277"/>
    <x v="337"/>
    <n v="59"/>
    <n v="13684"/>
    <n v="12690"/>
    <x v="200"/>
    <x v="0"/>
  </r>
  <r>
    <d v="2020-05-03T00:00:00"/>
    <x v="13"/>
    <n v="248148"/>
    <x v="338"/>
    <e v="#N/A"/>
    <e v="#N/A"/>
    <e v="#N/A"/>
    <x v="16"/>
    <x v="4"/>
  </r>
  <r>
    <d v="2020-05-30T00:00:00"/>
    <x v="12"/>
    <n v="246414"/>
    <x v="339"/>
    <n v="59"/>
    <n v="15030"/>
    <n v="13956"/>
    <x v="201"/>
    <x v="0"/>
  </r>
  <r>
    <d v="2020-05-06T00:00:00"/>
    <x v="13"/>
    <n v="216498"/>
    <x v="340"/>
    <e v="#N/A"/>
    <e v="#N/A"/>
    <e v="#N/A"/>
    <x v="16"/>
    <x v="3"/>
  </r>
  <r>
    <d v="2020-05-23T00:00:00"/>
    <x v="13"/>
    <n v="275793"/>
    <x v="341"/>
    <n v="54"/>
    <n v="16221"/>
    <n v="15065"/>
    <x v="202"/>
    <x v="2"/>
  </r>
  <r>
    <d v="2020-05-28T00:00:00"/>
    <x v="12"/>
    <n v="199753.5"/>
    <x v="342"/>
    <n v="60"/>
    <n v="12854"/>
    <n v="11954"/>
    <x v="203"/>
    <x v="0"/>
  </r>
  <r>
    <d v="2020-05-25T00:00:00"/>
    <x v="13"/>
    <n v="192948"/>
    <x v="343"/>
    <n v="54"/>
    <n v="12336"/>
    <n v="11519"/>
    <x v="204"/>
    <x v="0"/>
  </r>
  <r>
    <d v="2020-04-30T00:00:00"/>
    <x v="13"/>
    <n v="206038.5"/>
    <x v="344"/>
    <e v="#N/A"/>
    <e v="#N/A"/>
    <e v="#N/A"/>
    <x v="16"/>
    <x v="4"/>
  </r>
  <r>
    <d v="2020-05-10T00:00:00"/>
    <x v="13"/>
    <n v="231559.5"/>
    <x v="345"/>
    <e v="#N/A"/>
    <e v="#N/A"/>
    <e v="#N/A"/>
    <x v="16"/>
    <x v="3"/>
  </r>
  <r>
    <d v="2020-05-08T00:00:00"/>
    <x v="13"/>
    <n v="225076.5"/>
    <x v="346"/>
    <e v="#N/A"/>
    <e v="#N/A"/>
    <e v="#N/A"/>
    <x v="16"/>
    <x v="3"/>
  </r>
  <r>
    <d v="2020-05-07T00:00:00"/>
    <x v="13"/>
    <n v="209415"/>
    <x v="347"/>
    <e v="#N/A"/>
    <e v="#N/A"/>
    <e v="#N/A"/>
    <x v="16"/>
    <x v="3"/>
  </r>
  <r>
    <d v="2020-05-24T00:00:00"/>
    <x v="13"/>
    <n v="193719"/>
    <x v="348"/>
    <n v="54"/>
    <n v="12211"/>
    <n v="11427"/>
    <x v="205"/>
    <x v="2"/>
  </r>
  <r>
    <d v="2020-04-29T00:00:00"/>
    <x v="14"/>
    <n v="12250.5"/>
    <x v="349"/>
    <e v="#N/A"/>
    <e v="#N/A"/>
    <e v="#N/A"/>
    <x v="16"/>
    <x v="4"/>
  </r>
  <r>
    <d v="2020-04-28T00:00:00"/>
    <x v="14"/>
    <n v="12541.5"/>
    <x v="350"/>
    <e v="#N/A"/>
    <e v="#N/A"/>
    <e v="#N/A"/>
    <x v="16"/>
    <x v="4"/>
  </r>
  <r>
    <d v="2020-05-31T00:00:00"/>
    <x v="13"/>
    <n v="206758.5"/>
    <x v="351"/>
    <n v="54"/>
    <n v="13106"/>
    <n v="12164"/>
    <x v="206"/>
    <x v="0"/>
  </r>
  <r>
    <d v="2020-05-30T00:00:00"/>
    <x v="13"/>
    <n v="244734"/>
    <x v="352"/>
    <n v="54"/>
    <n v="14590"/>
    <n v="13551"/>
    <x v="207"/>
    <x v="0"/>
  </r>
  <r>
    <d v="2020-05-28T00:00:00"/>
    <x v="13"/>
    <n v="191641.5"/>
    <x v="353"/>
    <n v="54"/>
    <n v="12409"/>
    <n v="11582"/>
    <x v="208"/>
    <x v="0"/>
  </r>
  <r>
    <d v="2020-05-16T00:00:00"/>
    <x v="14"/>
    <n v="16368"/>
    <x v="354"/>
    <e v="#N/A"/>
    <e v="#N/A"/>
    <e v="#N/A"/>
    <x v="16"/>
    <x v="1"/>
  </r>
  <r>
    <d v="2020-05-19T00:00:00"/>
    <x v="14"/>
    <n v="14427"/>
    <x v="355"/>
    <e v="#N/A"/>
    <e v="#N/A"/>
    <e v="#N/A"/>
    <x v="16"/>
    <x v="2"/>
  </r>
  <r>
    <d v="2020-05-17T00:00:00"/>
    <x v="14"/>
    <n v="13440"/>
    <x v="356"/>
    <e v="#N/A"/>
    <e v="#N/A"/>
    <e v="#N/A"/>
    <x v="16"/>
    <x v="1"/>
  </r>
  <r>
    <d v="2020-05-09T00:00:00"/>
    <x v="14"/>
    <n v="11745"/>
    <x v="357"/>
    <e v="#N/A"/>
    <e v="#N/A"/>
    <e v="#N/A"/>
    <x v="16"/>
    <x v="3"/>
  </r>
  <r>
    <d v="2020-05-04T00:00:00"/>
    <x v="14"/>
    <n v="11062.5"/>
    <x v="358"/>
    <e v="#N/A"/>
    <e v="#N/A"/>
    <e v="#N/A"/>
    <x v="16"/>
    <x v="3"/>
  </r>
  <r>
    <d v="2020-05-02T00:00:00"/>
    <x v="14"/>
    <n v="10018.5"/>
    <x v="359"/>
    <e v="#N/A"/>
    <e v="#N/A"/>
    <e v="#N/A"/>
    <x v="16"/>
    <x v="4"/>
  </r>
  <r>
    <d v="2020-05-26T00:00:00"/>
    <x v="15"/>
    <n v="10437"/>
    <x v="360"/>
    <n v="7"/>
    <n v="577"/>
    <n v="389"/>
    <x v="209"/>
    <x v="0"/>
  </r>
  <r>
    <d v="2020-05-01T00:00:00"/>
    <x v="14"/>
    <n v="13644"/>
    <x v="361"/>
    <e v="#N/A"/>
    <e v="#N/A"/>
    <e v="#N/A"/>
    <x v="16"/>
    <x v="4"/>
  </r>
  <r>
    <d v="2020-05-12T00:00:00"/>
    <x v="14"/>
    <n v="13443"/>
    <x v="362"/>
    <e v="#N/A"/>
    <e v="#N/A"/>
    <e v="#N/A"/>
    <x v="16"/>
    <x v="1"/>
  </r>
  <r>
    <d v="2020-05-21T00:00:00"/>
    <x v="14"/>
    <n v="14182.5"/>
    <x v="363"/>
    <e v="#N/A"/>
    <e v="#N/A"/>
    <e v="#N/A"/>
    <x v="16"/>
    <x v="2"/>
  </r>
  <r>
    <d v="2020-05-20T00:00:00"/>
    <x v="14"/>
    <n v="14928"/>
    <x v="364"/>
    <e v="#N/A"/>
    <e v="#N/A"/>
    <e v="#N/A"/>
    <x v="16"/>
    <x v="2"/>
  </r>
  <r>
    <d v="2020-05-05T00:00:00"/>
    <x v="14"/>
    <n v="13941"/>
    <x v="365"/>
    <e v="#N/A"/>
    <e v="#N/A"/>
    <e v="#N/A"/>
    <x v="16"/>
    <x v="3"/>
  </r>
  <r>
    <d v="2020-05-13T00:00:00"/>
    <x v="14"/>
    <n v="14643"/>
    <x v="366"/>
    <e v="#N/A"/>
    <e v="#N/A"/>
    <e v="#N/A"/>
    <x v="16"/>
    <x v="1"/>
  </r>
  <r>
    <d v="2020-05-03T00:00:00"/>
    <x v="14"/>
    <n v="10032"/>
    <x v="367"/>
    <e v="#N/A"/>
    <e v="#N/A"/>
    <e v="#N/A"/>
    <x v="16"/>
    <x v="4"/>
  </r>
  <r>
    <d v="2020-05-06T00:00:00"/>
    <x v="14"/>
    <n v="12468"/>
    <x v="368"/>
    <e v="#N/A"/>
    <e v="#N/A"/>
    <e v="#N/A"/>
    <x v="16"/>
    <x v="3"/>
  </r>
  <r>
    <d v="2020-05-23T00:00:00"/>
    <x v="14"/>
    <n v="17943"/>
    <x v="369"/>
    <e v="#N/A"/>
    <e v="#N/A"/>
    <e v="#N/A"/>
    <x v="16"/>
    <x v="2"/>
  </r>
  <r>
    <d v="2020-05-25T00:00:00"/>
    <x v="14"/>
    <n v="15807"/>
    <x v="370"/>
    <n v="18"/>
    <n v="989"/>
    <n v="887"/>
    <x v="210"/>
    <x v="0"/>
  </r>
  <r>
    <d v="2020-04-30T00:00:00"/>
    <x v="14"/>
    <n v="11976"/>
    <x v="371"/>
    <e v="#N/A"/>
    <e v="#N/A"/>
    <e v="#N/A"/>
    <x v="16"/>
    <x v="4"/>
  </r>
  <r>
    <d v="2020-05-10T00:00:00"/>
    <x v="14"/>
    <n v="14566.5"/>
    <x v="372"/>
    <e v="#N/A"/>
    <e v="#N/A"/>
    <e v="#N/A"/>
    <x v="16"/>
    <x v="3"/>
  </r>
  <r>
    <d v="2020-05-08T00:00:00"/>
    <x v="14"/>
    <n v="12976.5"/>
    <x v="373"/>
    <e v="#N/A"/>
    <e v="#N/A"/>
    <e v="#N/A"/>
    <x v="16"/>
    <x v="3"/>
  </r>
  <r>
    <d v="2020-05-07T00:00:00"/>
    <x v="14"/>
    <n v="11719.5"/>
    <x v="374"/>
    <e v="#N/A"/>
    <e v="#N/A"/>
    <e v="#N/A"/>
    <x v="16"/>
    <x v="3"/>
  </r>
  <r>
    <d v="2020-05-24T00:00:00"/>
    <x v="14"/>
    <n v="17197.5"/>
    <x v="375"/>
    <e v="#N/A"/>
    <e v="#N/A"/>
    <e v="#N/A"/>
    <x v="16"/>
    <x v="2"/>
  </r>
  <r>
    <d v="2020-05-26T00:00:00"/>
    <x v="14"/>
    <n v="14419.5"/>
    <x v="376"/>
    <n v="18"/>
    <n v="914"/>
    <n v="804"/>
    <x v="211"/>
    <x v="0"/>
  </r>
  <r>
    <d v="2020-06-01T00:00:00"/>
    <x v="0"/>
    <n v="7816.5"/>
    <x v="377"/>
    <n v="15"/>
    <n v="453"/>
    <n v="370"/>
    <x v="212"/>
    <x v="5"/>
  </r>
  <r>
    <d v="2020-05-31T00:00:00"/>
    <x v="16"/>
    <n v="6409.5"/>
    <x v="378"/>
    <n v="9"/>
    <n v="345"/>
    <n v="255"/>
    <x v="213"/>
    <x v="0"/>
  </r>
  <r>
    <d v="2020-05-30T00:00:00"/>
    <x v="15"/>
    <n v="11220"/>
    <x v="379"/>
    <n v="7"/>
    <n v="532"/>
    <n v="449"/>
    <x v="214"/>
    <x v="0"/>
  </r>
  <r>
    <d v="2020-05-29T00:00:00"/>
    <x v="0"/>
    <n v="8350.5"/>
    <x v="380"/>
    <n v="15"/>
    <n v="400"/>
    <n v="329"/>
    <x v="215"/>
    <x v="0"/>
  </r>
  <r>
    <d v="2020-05-28T00:00:00"/>
    <x v="15"/>
    <n v="8428.5"/>
    <x v="381"/>
    <n v="7"/>
    <n v="420"/>
    <n v="347"/>
    <x v="216"/>
    <x v="0"/>
  </r>
  <r>
    <d v="2020-05-27T00:00:00"/>
    <x v="1"/>
    <n v="32817"/>
    <x v="382"/>
    <n v="20"/>
    <n v="2079"/>
    <n v="1893"/>
    <x v="217"/>
    <x v="0"/>
  </r>
  <r>
    <d v="2020-05-22T00:00:00"/>
    <x v="1"/>
    <n v="36031.5"/>
    <x v="383"/>
    <e v="#N/A"/>
    <e v="#N/A"/>
    <e v="#N/A"/>
    <x v="16"/>
    <x v="2"/>
  </r>
  <r>
    <d v="2020-05-31T00:00:00"/>
    <x v="17"/>
    <n v="5127"/>
    <x v="384"/>
    <n v="6"/>
    <n v="261"/>
    <n v="188"/>
    <x v="218"/>
    <x v="0"/>
  </r>
  <r>
    <d v="2020-05-11T00:00:00"/>
    <x v="1"/>
    <n v="27187.5"/>
    <x v="385"/>
    <e v="#N/A"/>
    <e v="#N/A"/>
    <e v="#N/A"/>
    <x v="16"/>
    <x v="1"/>
  </r>
  <r>
    <d v="2020-05-30T00:00:00"/>
    <x v="14"/>
    <n v="20688"/>
    <x v="386"/>
    <n v="18"/>
    <n v="1216"/>
    <n v="1101"/>
    <x v="219"/>
    <x v="0"/>
  </r>
  <r>
    <d v="2020-05-28T00:00:00"/>
    <x v="14"/>
    <n v="15678"/>
    <x v="387"/>
    <n v="18"/>
    <n v="1020"/>
    <n v="911"/>
    <x v="220"/>
    <x v="0"/>
  </r>
  <r>
    <d v="2020-05-18T00:00:00"/>
    <x v="1"/>
    <n v="31329"/>
    <x v="388"/>
    <e v="#N/A"/>
    <e v="#N/A"/>
    <e v="#N/A"/>
    <x v="16"/>
    <x v="2"/>
  </r>
  <r>
    <d v="2020-05-14T00:00:00"/>
    <x v="1"/>
    <n v="29658"/>
    <x v="389"/>
    <e v="#N/A"/>
    <e v="#N/A"/>
    <e v="#N/A"/>
    <x v="16"/>
    <x v="1"/>
  </r>
  <r>
    <d v="2020-05-15T00:00:00"/>
    <x v="1"/>
    <n v="34150.5"/>
    <x v="390"/>
    <e v="#N/A"/>
    <e v="#N/A"/>
    <e v="#N/A"/>
    <x v="16"/>
    <x v="1"/>
  </r>
  <r>
    <d v="2020-06-01T00:00:00"/>
    <x v="1"/>
    <n v="31947"/>
    <x v="391"/>
    <n v="21"/>
    <n v="2025"/>
    <n v="1849"/>
    <x v="221"/>
    <x v="5"/>
  </r>
  <r>
    <d v="2020-05-31T00:00:00"/>
    <x v="15"/>
    <n v="10416"/>
    <x v="392"/>
    <n v="7"/>
    <n v="530"/>
    <n v="447"/>
    <x v="222"/>
    <x v="0"/>
  </r>
  <r>
    <d v="2020-05-29T00:00:00"/>
    <x v="1"/>
    <n v="35431.5"/>
    <x v="393"/>
    <n v="20"/>
    <n v="2111"/>
    <n v="1917"/>
    <x v="223"/>
    <x v="0"/>
  </r>
  <r>
    <d v="2020-05-27T00:00:00"/>
    <x v="2"/>
    <n v="78544.5"/>
    <x v="394"/>
    <n v="31"/>
    <n v="5330"/>
    <n v="4977"/>
    <x v="224"/>
    <x v="0"/>
  </r>
  <r>
    <d v="2020-05-22T00:00:00"/>
    <x v="2"/>
    <n v="97963.5"/>
    <x v="395"/>
    <e v="#N/A"/>
    <e v="#N/A"/>
    <e v="#N/A"/>
    <x v="16"/>
    <x v="2"/>
  </r>
  <r>
    <d v="2020-06-01T00:00:00"/>
    <x v="2"/>
    <n v="77269.5"/>
    <x v="396"/>
    <n v="31"/>
    <n v="5468"/>
    <n v="5081"/>
    <x v="225"/>
    <x v="5"/>
  </r>
  <r>
    <d v="2020-05-31T00:00:00"/>
    <x v="14"/>
    <n v="16143"/>
    <x v="397"/>
    <n v="18"/>
    <n v="1029"/>
    <n v="925"/>
    <x v="226"/>
    <x v="0"/>
  </r>
  <r>
    <d v="2020-05-11T00:00:00"/>
    <x v="2"/>
    <n v="72220.5"/>
    <x v="398"/>
    <e v="#N/A"/>
    <e v="#N/A"/>
    <e v="#N/A"/>
    <x v="16"/>
    <x v="1"/>
  </r>
  <r>
    <d v="2020-05-18T00:00:00"/>
    <x v="2"/>
    <n v="78058.5"/>
    <x v="399"/>
    <e v="#N/A"/>
    <e v="#N/A"/>
    <e v="#N/A"/>
    <x v="16"/>
    <x v="2"/>
  </r>
  <r>
    <d v="2020-05-14T00:00:00"/>
    <x v="2"/>
    <n v="70498.5"/>
    <x v="400"/>
    <e v="#N/A"/>
    <e v="#N/A"/>
    <e v="#N/A"/>
    <x v="16"/>
    <x v="1"/>
  </r>
  <r>
    <d v="2020-05-15T00:00:00"/>
    <x v="2"/>
    <n v="78961.5"/>
    <x v="401"/>
    <e v="#N/A"/>
    <e v="#N/A"/>
    <e v="#N/A"/>
    <x v="16"/>
    <x v="1"/>
  </r>
  <r>
    <d v="2020-05-27T00:00:00"/>
    <x v="3"/>
    <n v="12490.5"/>
    <x v="402"/>
    <n v="10"/>
    <n v="757"/>
    <n v="660"/>
    <x v="227"/>
    <x v="0"/>
  </r>
  <r>
    <d v="2020-05-22T00:00:00"/>
    <x v="3"/>
    <n v="18036"/>
    <x v="403"/>
    <e v="#N/A"/>
    <e v="#N/A"/>
    <e v="#N/A"/>
    <x v="16"/>
    <x v="2"/>
  </r>
  <r>
    <d v="2020-06-01T00:00:00"/>
    <x v="3"/>
    <n v="11416.5"/>
    <x v="404"/>
    <n v="10"/>
    <n v="719"/>
    <n v="627"/>
    <x v="228"/>
    <x v="5"/>
  </r>
  <r>
    <d v="2020-05-11T00:00:00"/>
    <x v="3"/>
    <n v="9007.5"/>
    <x v="405"/>
    <e v="#N/A"/>
    <e v="#N/A"/>
    <e v="#N/A"/>
    <x v="16"/>
    <x v="1"/>
  </r>
  <r>
    <d v="2020-05-29T00:00:00"/>
    <x v="2"/>
    <n v="87552"/>
    <x v="406"/>
    <n v="31"/>
    <n v="5751"/>
    <n v="5319"/>
    <x v="229"/>
    <x v="0"/>
  </r>
  <r>
    <d v="2020-05-18T00:00:00"/>
    <x v="3"/>
    <n v="11680.5"/>
    <x v="407"/>
    <e v="#N/A"/>
    <e v="#N/A"/>
    <e v="#N/A"/>
    <x v="16"/>
    <x v="2"/>
  </r>
  <r>
    <d v="2020-05-14T00:00:00"/>
    <x v="3"/>
    <n v="12037.5"/>
    <x v="408"/>
    <e v="#N/A"/>
    <e v="#N/A"/>
    <e v="#N/A"/>
    <x v="16"/>
    <x v="1"/>
  </r>
  <r>
    <d v="2020-05-15T00:00:00"/>
    <x v="3"/>
    <n v="14421"/>
    <x v="409"/>
    <e v="#N/A"/>
    <e v="#N/A"/>
    <e v="#N/A"/>
    <x v="16"/>
    <x v="1"/>
  </r>
  <r>
    <d v="2020-05-29T00:00:00"/>
    <x v="3"/>
    <n v="14823"/>
    <x v="410"/>
    <n v="10"/>
    <n v="873"/>
    <n v="770"/>
    <x v="230"/>
    <x v="0"/>
  </r>
  <r>
    <d v="2020-05-27T00:00:00"/>
    <x v="4"/>
    <n v="31257"/>
    <x v="411"/>
    <n v="20"/>
    <n v="2079"/>
    <n v="1856"/>
    <x v="231"/>
    <x v="0"/>
  </r>
  <r>
    <d v="2020-05-22T00:00:00"/>
    <x v="4"/>
    <n v="38074.5"/>
    <x v="412"/>
    <e v="#N/A"/>
    <e v="#N/A"/>
    <e v="#N/A"/>
    <x v="16"/>
    <x v="2"/>
  </r>
  <r>
    <d v="2020-06-01T00:00:00"/>
    <x v="4"/>
    <n v="32170.5"/>
    <x v="413"/>
    <n v="20"/>
    <n v="2136"/>
    <n v="1899"/>
    <x v="232"/>
    <x v="5"/>
  </r>
  <r>
    <d v="2020-05-11T00:00:00"/>
    <x v="4"/>
    <n v="42397.5"/>
    <x v="414"/>
    <e v="#N/A"/>
    <e v="#N/A"/>
    <e v="#N/A"/>
    <x v="16"/>
    <x v="1"/>
  </r>
  <r>
    <d v="2020-05-18T00:00:00"/>
    <x v="4"/>
    <n v="28668"/>
    <x v="415"/>
    <e v="#N/A"/>
    <e v="#N/A"/>
    <e v="#N/A"/>
    <x v="16"/>
    <x v="2"/>
  </r>
  <r>
    <d v="2020-05-14T00:00:00"/>
    <x v="4"/>
    <n v="27411"/>
    <x v="416"/>
    <e v="#N/A"/>
    <e v="#N/A"/>
    <e v="#N/A"/>
    <x v="16"/>
    <x v="1"/>
  </r>
  <r>
    <d v="2020-05-15T00:00:00"/>
    <x v="4"/>
    <n v="32854.5"/>
    <x v="417"/>
    <e v="#N/A"/>
    <e v="#N/A"/>
    <e v="#N/A"/>
    <x v="16"/>
    <x v="1"/>
  </r>
  <r>
    <d v="2020-05-29T00:00:00"/>
    <x v="4"/>
    <n v="35346"/>
    <x v="418"/>
    <n v="20"/>
    <n v="2249"/>
    <n v="2000"/>
    <x v="233"/>
    <x v="0"/>
  </r>
  <r>
    <d v="2020-05-27T00:00:00"/>
    <x v="5"/>
    <n v="286558.5"/>
    <x v="419"/>
    <e v="#N/A"/>
    <e v="#N/A"/>
    <e v="#N/A"/>
    <x v="16"/>
    <x v="0"/>
  </r>
  <r>
    <d v="2020-05-22T00:00:00"/>
    <x v="5"/>
    <n v="304092"/>
    <x v="420"/>
    <e v="#N/A"/>
    <e v="#N/A"/>
    <e v="#N/A"/>
    <x v="16"/>
    <x v="2"/>
  </r>
  <r>
    <d v="2020-06-01T00:00:00"/>
    <x v="5"/>
    <n v="272926.5"/>
    <x v="421"/>
    <n v="128"/>
    <n v="16285"/>
    <n v="15130"/>
    <x v="234"/>
    <x v="5"/>
  </r>
  <r>
    <d v="2020-05-11T00:00:00"/>
    <x v="5"/>
    <n v="237099"/>
    <x v="422"/>
    <e v="#N/A"/>
    <e v="#N/A"/>
    <e v="#N/A"/>
    <x v="16"/>
    <x v="1"/>
  </r>
  <r>
    <d v="2020-05-18T00:00:00"/>
    <x v="5"/>
    <n v="273900"/>
    <x v="423"/>
    <e v="#N/A"/>
    <e v="#N/A"/>
    <e v="#N/A"/>
    <x v="16"/>
    <x v="2"/>
  </r>
  <r>
    <d v="2020-05-14T00:00:00"/>
    <x v="5"/>
    <n v="274059"/>
    <x v="424"/>
    <e v="#N/A"/>
    <e v="#N/A"/>
    <e v="#N/A"/>
    <x v="16"/>
    <x v="1"/>
  </r>
  <r>
    <d v="2020-05-15T00:00:00"/>
    <x v="5"/>
    <n v="318816"/>
    <x v="425"/>
    <e v="#N/A"/>
    <e v="#N/A"/>
    <e v="#N/A"/>
    <x v="16"/>
    <x v="1"/>
  </r>
  <r>
    <d v="2020-05-27T00:00:00"/>
    <x v="6"/>
    <n v="370012.5"/>
    <x v="426"/>
    <e v="#N/A"/>
    <e v="#N/A"/>
    <e v="#N/A"/>
    <x v="16"/>
    <x v="0"/>
  </r>
  <r>
    <d v="2020-05-22T00:00:00"/>
    <x v="6"/>
    <n v="393018"/>
    <x v="427"/>
    <e v="#N/A"/>
    <e v="#N/A"/>
    <e v="#N/A"/>
    <x v="16"/>
    <x v="2"/>
  </r>
  <r>
    <d v="2020-06-01T00:00:00"/>
    <x v="6"/>
    <n v="349699.5"/>
    <x v="428"/>
    <n v="123"/>
    <n v="20325"/>
    <n v="18935"/>
    <x v="235"/>
    <x v="5"/>
  </r>
  <r>
    <d v="2020-05-11T00:00:00"/>
    <x v="6"/>
    <n v="318565.5"/>
    <x v="429"/>
    <e v="#N/A"/>
    <e v="#N/A"/>
    <e v="#N/A"/>
    <x v="16"/>
    <x v="1"/>
  </r>
  <r>
    <d v="2020-05-29T00:00:00"/>
    <x v="5"/>
    <n v="422965.5"/>
    <x v="430"/>
    <n v="129"/>
    <n v="22403"/>
    <n v="20676"/>
    <x v="236"/>
    <x v="0"/>
  </r>
  <r>
    <d v="2020-05-18T00:00:00"/>
    <x v="6"/>
    <n v="355081.5"/>
    <x v="431"/>
    <e v="#N/A"/>
    <e v="#N/A"/>
    <e v="#N/A"/>
    <x v="16"/>
    <x v="2"/>
  </r>
  <r>
    <d v="2020-05-14T00:00:00"/>
    <x v="6"/>
    <n v="358387.5"/>
    <x v="432"/>
    <e v="#N/A"/>
    <e v="#N/A"/>
    <e v="#N/A"/>
    <x v="16"/>
    <x v="1"/>
  </r>
  <r>
    <d v="2020-05-15T00:00:00"/>
    <x v="6"/>
    <n v="403261.5"/>
    <x v="433"/>
    <e v="#N/A"/>
    <e v="#N/A"/>
    <e v="#N/A"/>
    <x v="16"/>
    <x v="1"/>
  </r>
  <r>
    <d v="2020-05-27T00:00:00"/>
    <x v="7"/>
    <n v="69010.5"/>
    <x v="434"/>
    <e v="#N/A"/>
    <e v="#N/A"/>
    <e v="#N/A"/>
    <x v="16"/>
    <x v="0"/>
  </r>
  <r>
    <d v="2020-05-22T00:00:00"/>
    <x v="7"/>
    <n v="75820.5"/>
    <x v="435"/>
    <e v="#N/A"/>
    <e v="#N/A"/>
    <e v="#N/A"/>
    <x v="16"/>
    <x v="2"/>
  </r>
  <r>
    <d v="2020-06-01T00:00:00"/>
    <x v="7"/>
    <n v="64740"/>
    <x v="436"/>
    <n v="37"/>
    <n v="4722"/>
    <n v="4352"/>
    <x v="237"/>
    <x v="5"/>
  </r>
  <r>
    <d v="2020-05-11T00:00:00"/>
    <x v="7"/>
    <n v="59574"/>
    <x v="437"/>
    <e v="#N/A"/>
    <e v="#N/A"/>
    <e v="#N/A"/>
    <x v="16"/>
    <x v="1"/>
  </r>
  <r>
    <d v="2020-05-29T00:00:00"/>
    <x v="6"/>
    <n v="524481"/>
    <x v="438"/>
    <n v="124"/>
    <n v="25828"/>
    <n v="23974"/>
    <x v="238"/>
    <x v="0"/>
  </r>
  <r>
    <d v="2020-05-18T00:00:00"/>
    <x v="7"/>
    <n v="70278"/>
    <x v="439"/>
    <e v="#N/A"/>
    <e v="#N/A"/>
    <e v="#N/A"/>
    <x v="16"/>
    <x v="2"/>
  </r>
  <r>
    <d v="2020-05-14T00:00:00"/>
    <x v="7"/>
    <n v="63645"/>
    <x v="440"/>
    <e v="#N/A"/>
    <e v="#N/A"/>
    <e v="#N/A"/>
    <x v="16"/>
    <x v="1"/>
  </r>
  <r>
    <d v="2020-05-15T00:00:00"/>
    <x v="7"/>
    <n v="75642"/>
    <x v="441"/>
    <e v="#N/A"/>
    <e v="#N/A"/>
    <e v="#N/A"/>
    <x v="16"/>
    <x v="1"/>
  </r>
  <r>
    <d v="2020-05-27T00:00:00"/>
    <x v="8"/>
    <n v="40420.5"/>
    <x v="442"/>
    <e v="#N/A"/>
    <e v="#N/A"/>
    <e v="#N/A"/>
    <x v="16"/>
    <x v="0"/>
  </r>
  <r>
    <d v="2020-05-22T00:00:00"/>
    <x v="8"/>
    <n v="53838"/>
    <x v="443"/>
    <e v="#N/A"/>
    <e v="#N/A"/>
    <e v="#N/A"/>
    <x v="16"/>
    <x v="2"/>
  </r>
  <r>
    <d v="2020-06-01T00:00:00"/>
    <x v="8"/>
    <n v="40528.5"/>
    <x v="444"/>
    <n v="23"/>
    <n v="2531"/>
    <n v="2296"/>
    <x v="239"/>
    <x v="5"/>
  </r>
  <r>
    <d v="2020-05-11T00:00:00"/>
    <x v="8"/>
    <n v="32733"/>
    <x v="445"/>
    <e v="#N/A"/>
    <e v="#N/A"/>
    <e v="#N/A"/>
    <x v="16"/>
    <x v="1"/>
  </r>
  <r>
    <d v="2020-05-29T00:00:00"/>
    <x v="7"/>
    <n v="84433.5"/>
    <x v="446"/>
    <e v="#N/A"/>
    <e v="#N/A"/>
    <e v="#N/A"/>
    <x v="16"/>
    <x v="0"/>
  </r>
  <r>
    <d v="2020-05-18T00:00:00"/>
    <x v="8"/>
    <n v="36655.5"/>
    <x v="447"/>
    <e v="#N/A"/>
    <e v="#N/A"/>
    <e v="#N/A"/>
    <x v="16"/>
    <x v="2"/>
  </r>
  <r>
    <d v="2020-05-14T00:00:00"/>
    <x v="8"/>
    <n v="33886.5"/>
    <x v="448"/>
    <e v="#N/A"/>
    <e v="#N/A"/>
    <e v="#N/A"/>
    <x v="16"/>
    <x v="1"/>
  </r>
  <r>
    <d v="2020-05-15T00:00:00"/>
    <x v="8"/>
    <n v="41697"/>
    <x v="449"/>
    <e v="#N/A"/>
    <e v="#N/A"/>
    <e v="#N/A"/>
    <x v="16"/>
    <x v="1"/>
  </r>
  <r>
    <d v="2020-05-29T00:00:00"/>
    <x v="8"/>
    <n v="44569.5"/>
    <x v="450"/>
    <e v="#N/A"/>
    <e v="#N/A"/>
    <e v="#N/A"/>
    <x v="16"/>
    <x v="0"/>
  </r>
  <r>
    <d v="2020-05-27T00:00:00"/>
    <x v="9"/>
    <n v="18069"/>
    <x v="451"/>
    <e v="#N/A"/>
    <e v="#N/A"/>
    <e v="#N/A"/>
    <x v="16"/>
    <x v="0"/>
  </r>
  <r>
    <d v="2020-05-22T00:00:00"/>
    <x v="9"/>
    <n v="21483"/>
    <x v="452"/>
    <e v="#N/A"/>
    <e v="#N/A"/>
    <e v="#N/A"/>
    <x v="16"/>
    <x v="2"/>
  </r>
  <r>
    <d v="2020-06-01T00:00:00"/>
    <x v="9"/>
    <n v="16687.5"/>
    <x v="453"/>
    <n v="17"/>
    <n v="1185"/>
    <n v="1042"/>
    <x v="240"/>
    <x v="5"/>
  </r>
  <r>
    <d v="2020-05-11T00:00:00"/>
    <x v="9"/>
    <n v="12238.5"/>
    <x v="454"/>
    <e v="#N/A"/>
    <e v="#N/A"/>
    <e v="#N/A"/>
    <x v="16"/>
    <x v="1"/>
  </r>
  <r>
    <d v="2020-05-18T00:00:00"/>
    <x v="9"/>
    <n v="14290.5"/>
    <x v="455"/>
    <e v="#N/A"/>
    <e v="#N/A"/>
    <e v="#N/A"/>
    <x v="16"/>
    <x v="2"/>
  </r>
  <r>
    <d v="2020-05-14T00:00:00"/>
    <x v="9"/>
    <n v="14385"/>
    <x v="456"/>
    <e v="#N/A"/>
    <e v="#N/A"/>
    <e v="#N/A"/>
    <x v="16"/>
    <x v="1"/>
  </r>
  <r>
    <d v="2020-05-15T00:00:00"/>
    <x v="9"/>
    <n v="16498.5"/>
    <x v="457"/>
    <e v="#N/A"/>
    <e v="#N/A"/>
    <e v="#N/A"/>
    <x v="16"/>
    <x v="1"/>
  </r>
  <r>
    <d v="2020-05-27T00:00:00"/>
    <x v="10"/>
    <n v="13203"/>
    <x v="458"/>
    <e v="#N/A"/>
    <e v="#N/A"/>
    <e v="#N/A"/>
    <x v="16"/>
    <x v="0"/>
  </r>
  <r>
    <d v="2020-05-22T00:00:00"/>
    <x v="10"/>
    <n v="15802.5"/>
    <x v="459"/>
    <e v="#N/A"/>
    <e v="#N/A"/>
    <e v="#N/A"/>
    <x v="16"/>
    <x v="2"/>
  </r>
  <r>
    <d v="2020-06-01T00:00:00"/>
    <x v="10"/>
    <n v="16476"/>
    <x v="460"/>
    <n v="16"/>
    <n v="1019"/>
    <n v="895"/>
    <x v="241"/>
    <x v="5"/>
  </r>
  <r>
    <d v="2020-05-11T00:00:00"/>
    <x v="10"/>
    <n v="12654"/>
    <x v="461"/>
    <e v="#N/A"/>
    <e v="#N/A"/>
    <e v="#N/A"/>
    <x v="16"/>
    <x v="1"/>
  </r>
  <r>
    <d v="2020-05-29T00:00:00"/>
    <x v="9"/>
    <n v="19647"/>
    <x v="462"/>
    <e v="#N/A"/>
    <e v="#N/A"/>
    <e v="#N/A"/>
    <x v="16"/>
    <x v="0"/>
  </r>
  <r>
    <d v="2020-05-18T00:00:00"/>
    <x v="10"/>
    <n v="12450"/>
    <x v="463"/>
    <e v="#N/A"/>
    <e v="#N/A"/>
    <e v="#N/A"/>
    <x v="16"/>
    <x v="2"/>
  </r>
  <r>
    <d v="2020-05-14T00:00:00"/>
    <x v="10"/>
    <n v="11161.5"/>
    <x v="464"/>
    <e v="#N/A"/>
    <e v="#N/A"/>
    <e v="#N/A"/>
    <x v="16"/>
    <x v="1"/>
  </r>
  <r>
    <d v="2020-05-15T00:00:00"/>
    <x v="10"/>
    <n v="12229.5"/>
    <x v="465"/>
    <e v="#N/A"/>
    <e v="#N/A"/>
    <e v="#N/A"/>
    <x v="16"/>
    <x v="1"/>
  </r>
  <r>
    <d v="2020-05-27T00:00:00"/>
    <x v="11"/>
    <n v="28050"/>
    <x v="466"/>
    <e v="#N/A"/>
    <e v="#N/A"/>
    <e v="#N/A"/>
    <x v="16"/>
    <x v="0"/>
  </r>
  <r>
    <d v="2020-05-22T00:00:00"/>
    <x v="11"/>
    <n v="30781.5"/>
    <x v="467"/>
    <e v="#N/A"/>
    <e v="#N/A"/>
    <e v="#N/A"/>
    <x v="16"/>
    <x v="2"/>
  </r>
  <r>
    <d v="2020-06-01T00:00:00"/>
    <x v="11"/>
    <n v="27960"/>
    <x v="468"/>
    <n v="21"/>
    <n v="1879"/>
    <n v="1720"/>
    <x v="242"/>
    <x v="5"/>
  </r>
  <r>
    <d v="2020-05-11T00:00:00"/>
    <x v="11"/>
    <n v="23629.5"/>
    <x v="469"/>
    <e v="#N/A"/>
    <e v="#N/A"/>
    <e v="#N/A"/>
    <x v="16"/>
    <x v="1"/>
  </r>
  <r>
    <d v="2020-05-29T00:00:00"/>
    <x v="10"/>
    <n v="17052"/>
    <x v="470"/>
    <e v="#N/A"/>
    <e v="#N/A"/>
    <e v="#N/A"/>
    <x v="16"/>
    <x v="0"/>
  </r>
  <r>
    <d v="2020-05-18T00:00:00"/>
    <x v="11"/>
    <n v="27181.5"/>
    <x v="471"/>
    <e v="#N/A"/>
    <e v="#N/A"/>
    <e v="#N/A"/>
    <x v="16"/>
    <x v="2"/>
  </r>
  <r>
    <d v="2020-05-14T00:00:00"/>
    <x v="11"/>
    <n v="25656"/>
    <x v="472"/>
    <e v="#N/A"/>
    <e v="#N/A"/>
    <e v="#N/A"/>
    <x v="16"/>
    <x v="1"/>
  </r>
  <r>
    <d v="2020-05-15T00:00:00"/>
    <x v="11"/>
    <n v="29283"/>
    <x v="473"/>
    <e v="#N/A"/>
    <e v="#N/A"/>
    <e v="#N/A"/>
    <x v="16"/>
    <x v="1"/>
  </r>
  <r>
    <d v="2020-05-29T00:00:00"/>
    <x v="11"/>
    <n v="32782.5"/>
    <x v="474"/>
    <e v="#N/A"/>
    <e v="#N/A"/>
    <e v="#N/A"/>
    <x v="16"/>
    <x v="0"/>
  </r>
  <r>
    <d v="2020-05-27T00:00:00"/>
    <x v="12"/>
    <n v="215592"/>
    <x v="475"/>
    <e v="#N/A"/>
    <e v="#N/A"/>
    <e v="#N/A"/>
    <x v="16"/>
    <x v="0"/>
  </r>
  <r>
    <d v="2020-05-22T00:00:00"/>
    <x v="12"/>
    <n v="228334.5"/>
    <x v="476"/>
    <e v="#N/A"/>
    <e v="#N/A"/>
    <e v="#N/A"/>
    <x v="16"/>
    <x v="2"/>
  </r>
  <r>
    <d v="2020-06-01T00:00:00"/>
    <x v="12"/>
    <n v="188776.5"/>
    <x v="477"/>
    <n v="59"/>
    <n v="12299"/>
    <n v="11448"/>
    <x v="243"/>
    <x v="5"/>
  </r>
  <r>
    <d v="2020-05-11T00:00:00"/>
    <x v="12"/>
    <n v="175293"/>
    <x v="478"/>
    <e v="#N/A"/>
    <e v="#N/A"/>
    <e v="#N/A"/>
    <x v="16"/>
    <x v="1"/>
  </r>
  <r>
    <d v="2020-05-18T00:00:00"/>
    <x v="12"/>
    <n v="201999"/>
    <x v="479"/>
    <e v="#N/A"/>
    <e v="#N/A"/>
    <e v="#N/A"/>
    <x v="16"/>
    <x v="2"/>
  </r>
  <r>
    <d v="2020-05-14T00:00:00"/>
    <x v="12"/>
    <n v="197946"/>
    <x v="480"/>
    <e v="#N/A"/>
    <e v="#N/A"/>
    <e v="#N/A"/>
    <x v="16"/>
    <x v="1"/>
  </r>
  <r>
    <d v="2020-05-15T00:00:00"/>
    <x v="12"/>
    <n v="230896.5"/>
    <x v="481"/>
    <e v="#N/A"/>
    <e v="#N/A"/>
    <e v="#N/A"/>
    <x v="16"/>
    <x v="1"/>
  </r>
  <r>
    <d v="2020-05-27T00:00:00"/>
    <x v="13"/>
    <n v="203532"/>
    <x v="482"/>
    <e v="#N/A"/>
    <e v="#N/A"/>
    <e v="#N/A"/>
    <x v="16"/>
    <x v="0"/>
  </r>
  <r>
    <d v="2020-05-22T00:00:00"/>
    <x v="13"/>
    <n v="214428"/>
    <x v="483"/>
    <e v="#N/A"/>
    <e v="#N/A"/>
    <e v="#N/A"/>
    <x v="16"/>
    <x v="2"/>
  </r>
  <r>
    <d v="2020-06-01T00:00:00"/>
    <x v="13"/>
    <n v="183228"/>
    <x v="484"/>
    <n v="54"/>
    <n v="11864"/>
    <n v="11071"/>
    <x v="244"/>
    <x v="5"/>
  </r>
  <r>
    <d v="2020-05-11T00:00:00"/>
    <x v="13"/>
    <n v="166948.5"/>
    <x v="485"/>
    <e v="#N/A"/>
    <e v="#N/A"/>
    <e v="#N/A"/>
    <x v="16"/>
    <x v="1"/>
  </r>
  <r>
    <d v="2020-05-29T00:00:00"/>
    <x v="12"/>
    <n v="232102.5"/>
    <x v="486"/>
    <e v="#N/A"/>
    <e v="#N/A"/>
    <e v="#N/A"/>
    <x v="16"/>
    <x v="0"/>
  </r>
  <r>
    <d v="2020-05-18T00:00:00"/>
    <x v="13"/>
    <n v="196560"/>
    <x v="487"/>
    <e v="#N/A"/>
    <e v="#N/A"/>
    <e v="#N/A"/>
    <x v="16"/>
    <x v="2"/>
  </r>
  <r>
    <d v="2020-05-14T00:00:00"/>
    <x v="13"/>
    <n v="186496.5"/>
    <x v="488"/>
    <e v="#N/A"/>
    <e v="#N/A"/>
    <e v="#N/A"/>
    <x v="16"/>
    <x v="1"/>
  </r>
  <r>
    <d v="2020-05-15T00:00:00"/>
    <x v="13"/>
    <n v="219772.5"/>
    <x v="489"/>
    <e v="#N/A"/>
    <e v="#N/A"/>
    <e v="#N/A"/>
    <x v="16"/>
    <x v="1"/>
  </r>
  <r>
    <d v="2020-05-29T00:00:00"/>
    <x v="13"/>
    <n v="226476"/>
    <x v="490"/>
    <e v="#N/A"/>
    <e v="#N/A"/>
    <e v="#N/A"/>
    <x v="16"/>
    <x v="0"/>
  </r>
  <r>
    <d v="2020-05-27T00:00:00"/>
    <x v="15"/>
    <n v="8362.5"/>
    <x v="491"/>
    <e v="#N/A"/>
    <e v="#N/A"/>
    <e v="#N/A"/>
    <x v="16"/>
    <x v="0"/>
  </r>
  <r>
    <d v="2020-05-22T00:00:00"/>
    <x v="14"/>
    <n v="17008.5"/>
    <x v="492"/>
    <e v="#N/A"/>
    <e v="#N/A"/>
    <e v="#N/A"/>
    <x v="16"/>
    <x v="2"/>
  </r>
  <r>
    <d v="2020-06-01T00:00:00"/>
    <x v="16"/>
    <n v="5166"/>
    <x v="493"/>
    <n v="9"/>
    <n v="294"/>
    <n v="224"/>
    <x v="245"/>
    <x v="5"/>
  </r>
  <r>
    <d v="2020-05-11T00:00:00"/>
    <x v="14"/>
    <n v="10941"/>
    <x v="494"/>
    <e v="#N/A"/>
    <e v="#N/A"/>
    <e v="#N/A"/>
    <x v="16"/>
    <x v="1"/>
  </r>
  <r>
    <d v="2020-05-18T00:00:00"/>
    <x v="14"/>
    <n v="14497.5"/>
    <x v="495"/>
    <e v="#N/A"/>
    <e v="#N/A"/>
    <e v="#N/A"/>
    <x v="16"/>
    <x v="2"/>
  </r>
  <r>
    <d v="2020-05-14T00:00:00"/>
    <x v="14"/>
    <n v="13810.5"/>
    <x v="496"/>
    <e v="#N/A"/>
    <e v="#N/A"/>
    <e v="#N/A"/>
    <x v="16"/>
    <x v="1"/>
  </r>
  <r>
    <d v="2020-05-15T00:00:00"/>
    <x v="14"/>
    <n v="13752"/>
    <x v="497"/>
    <e v="#N/A"/>
    <e v="#N/A"/>
    <e v="#N/A"/>
    <x v="16"/>
    <x v="1"/>
  </r>
  <r>
    <d v="2020-05-27T00:00:00"/>
    <x v="14"/>
    <n v="15276"/>
    <x v="498"/>
    <e v="#N/A"/>
    <e v="#N/A"/>
    <e v="#N/A"/>
    <x v="16"/>
    <x v="0"/>
  </r>
  <r>
    <d v="2020-06-01T00:00:00"/>
    <x v="17"/>
    <n v="4408.5"/>
    <x v="499"/>
    <n v="6"/>
    <n v="237"/>
    <n v="175"/>
    <x v="246"/>
    <x v="5"/>
  </r>
  <r>
    <d v="2020-05-29T00:00:00"/>
    <x v="15"/>
    <n v="9927"/>
    <x v="500"/>
    <e v="#N/A"/>
    <e v="#N/A"/>
    <e v="#N/A"/>
    <x v="16"/>
    <x v="0"/>
  </r>
  <r>
    <d v="2020-06-01T00:00:00"/>
    <x v="15"/>
    <n v="9474"/>
    <x v="501"/>
    <n v="7"/>
    <n v="500"/>
    <n v="418"/>
    <x v="247"/>
    <x v="5"/>
  </r>
  <r>
    <d v="2020-05-29T00:00:00"/>
    <x v="14"/>
    <n v="16878"/>
    <x v="502"/>
    <e v="#N/A"/>
    <e v="#N/A"/>
    <e v="#N/A"/>
    <x v="16"/>
    <x v="0"/>
  </r>
  <r>
    <d v="2020-06-01T00:00:00"/>
    <x v="14"/>
    <n v="14238"/>
    <x v="503"/>
    <m/>
    <m/>
    <m/>
    <x v="248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6E69C-A6F9-4637-91B7-B50BA5B1B4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" firstHeaderRow="0" firstDataRow="1" firstDataCol="1"/>
  <pivotFields count="9">
    <pivotField showAll="0"/>
    <pivotField axis="axisRow"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</pivotField>
    <pivotField showAll="0"/>
    <pivotField dataField="1" showAll="0"/>
    <pivotField showAll="0"/>
    <pivotField showAll="0"/>
    <pivotField showAll="0"/>
    <pivotField dataField="1" showAll="0">
      <items count="2">
        <item x="0"/>
        <item t="default"/>
      </items>
    </pivotField>
    <pivotField axis="axisRow" showAll="0">
      <items count="8">
        <item h="1" x="4"/>
        <item h="1" x="3"/>
        <item h="1" x="1"/>
        <item h="1" x="2"/>
        <item h="1" x="0"/>
        <item x="5"/>
        <item h="1" x="6"/>
        <item t="default"/>
      </items>
    </pivotField>
  </pivotFields>
  <rowFields count="2">
    <field x="8"/>
    <field x="1"/>
  </rowFields>
  <rowItems count="20"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руб" fld="3" baseField="8" baseItem="5"/>
    <dataField name="Count of Товарооборот на склад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313D4-E4CE-4C19-83E8-74EE69FC77E9}" name="PivotTable3" cacheId="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44" firstHeaderRow="1" firstDataRow="2" firstDataCol="1"/>
  <pivotFields count="9">
    <pivotField numFmtId="1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Col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2">
    <field x="-2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t="grand">
      <x/>
    </i>
    <i t="grand" i="1">
      <x/>
    </i>
  </rowItems>
  <colFields count="1">
    <field x="8"/>
  </colFields>
  <colItems count="2">
    <i>
      <x v="5"/>
    </i>
    <i t="grand">
      <x/>
    </i>
  </colItems>
  <dataFields count="2">
    <dataField name="Sum of Товарооборот, руб" fld="3" baseField="0" baseItem="0"/>
    <dataField name="Sum of Товарооборот на склад" fld="7" baseField="8" baseItem="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07B00-A734-4C15-9BF9-5F27CE977250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9">
    <pivotField numFmtId="1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руб" fld="3" baseField="0" baseItem="0"/>
    <dataField name="Count of Товарооборот на склад" fld="7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E9AA7-4F48-4F84-8249-8AB5070F832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2">
        <item s="1" x="0"/>
        <item t="default"/>
      </items>
    </pivotField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2">
    <field x="2"/>
    <field x="3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руб" fld="0" baseField="0" baseItem="0"/>
    <dataField name="Count of Товарооборот на склад" fld="1" subtotal="count" baseField="2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I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58B0DE-60B7-4148-BB0A-22FE9A1DB9CB}" name="Table5" displayName="Table5" ref="A3:I507" totalsRowShown="0">
  <autoFilter ref="A3:I507" xr:uid="{0358B0DE-60B7-4148-BB0A-22FE9A1DB9CB}"/>
  <tableColumns count="9">
    <tableColumn id="1" xr3:uid="{0A056A0B-1188-4612-8D03-03A9986411DF}" name="Дата" dataDxfId="0"/>
    <tableColumn id="2" xr3:uid="{7D676D6E-1352-41AC-A9BD-AA77D46F5CE8}" name="Территория"/>
    <tableColumn id="3" xr3:uid="{8E834C96-5669-48D1-9EC7-BDA2866597BF}" name="Товарооборот, шт"/>
    <tableColumn id="4" xr3:uid="{A3657C7F-C61F-4F5A-9812-C2F481A43EF9}" name="Товарооборот, руб"/>
    <tableColumn id="5" xr3:uid="{746A4082-E044-4576-93D9-DA432184C0D7}" name="Количество складов"/>
    <tableColumn id="6" xr3:uid="{1FE2468B-8420-4D8F-8A82-894660B4F006}" name="Количество заказов"/>
    <tableColumn id="7" xr3:uid="{B3769108-03CD-4A5C-8CCA-C82A4EB5629B}" name="Количество клиентов"/>
    <tableColumn id="8" xr3:uid="{FA99F572-1BE1-4884-A73E-B028DDCCD874}" name="Товарооборот на склад"/>
    <tableColumn id="9" xr3:uid="{0BE31B09-0E56-4389-90E8-23CEADC074CB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A04339-4180-47D5-84B4-4C102940840C}" name="Table2" displayName="Table2" ref="A3:I507" totalsRowShown="0">
  <autoFilter ref="A3:I507" xr:uid="{54A04339-4180-47D5-84B4-4C102940840C}"/>
  <tableColumns count="9">
    <tableColumn id="1" xr3:uid="{7ACBB6A8-3E5B-4A26-9DEB-D756F9B95B47}" name="Дата" dataDxfId="1"/>
    <tableColumn id="2" xr3:uid="{623E554D-47C2-4EF3-A21C-ED718D1516A0}" name="Территория"/>
    <tableColumn id="3" xr3:uid="{C10D9538-AAFF-4764-9F0F-6548D28D36B1}" name="Товарооборот, шт"/>
    <tableColumn id="4" xr3:uid="{7508B6DB-4EF8-48BF-8C3D-164E83C4116F}" name="Товарооборот, руб"/>
    <tableColumn id="5" xr3:uid="{09BB2572-8775-46AE-A2D1-2360ADAAAFD7}" name="Количество складов"/>
    <tableColumn id="6" xr3:uid="{238A943B-FD36-47E2-AF97-C1536072A0F3}" name="Количество заказов"/>
    <tableColumn id="7" xr3:uid="{2B59EECD-A0A9-409B-975C-222249D24A6B}" name="Количество клиентов"/>
    <tableColumn id="8" xr3:uid="{0188918F-6312-4EDB-BEAE-22FFD5D65047}" name="Товарооборот на склад"/>
    <tableColumn id="9" xr3:uid="{D721C681-2AF5-4236-AD6F-A33140F2B82A}" name="Недел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1CE4-495B-4DAB-BAC3-695746205BC9}">
  <dimension ref="A3:C23"/>
  <sheetViews>
    <sheetView workbookViewId="0">
      <selection activeCell="A3" sqref="A3"/>
    </sheetView>
  </sheetViews>
  <sheetFormatPr defaultRowHeight="14.4" x14ac:dyDescent="0.3"/>
  <cols>
    <col min="1" max="1" width="25.109375" bestFit="1" customWidth="1"/>
    <col min="2" max="2" width="24.6640625" bestFit="1" customWidth="1"/>
    <col min="3" max="3" width="30" bestFit="1" customWidth="1"/>
    <col min="4" max="4" width="8" bestFit="1" customWidth="1"/>
    <col min="5" max="5" width="10" bestFit="1" customWidth="1"/>
    <col min="6" max="6" width="10.5546875" bestFit="1" customWidth="1"/>
    <col min="7" max="7" width="14.33203125" bestFit="1" customWidth="1"/>
    <col min="8" max="8" width="13.5546875" bestFit="1" customWidth="1"/>
    <col min="9" max="9" width="17.21875" bestFit="1" customWidth="1"/>
    <col min="10" max="10" width="12.6640625" bestFit="1" customWidth="1"/>
    <col min="11" max="11" width="10" bestFit="1" customWidth="1"/>
    <col min="12" max="12" width="15.109375" bestFit="1" customWidth="1"/>
    <col min="13" max="13" width="7.6640625" bestFit="1" customWidth="1"/>
    <col min="14" max="14" width="21.6640625" bestFit="1" customWidth="1"/>
    <col min="15" max="15" width="18.77734375" bestFit="1" customWidth="1"/>
    <col min="16" max="16" width="8.77734375" bestFit="1" customWidth="1"/>
    <col min="17" max="17" width="7" bestFit="1" customWidth="1"/>
    <col min="18" max="18" width="9" bestFit="1" customWidth="1"/>
    <col min="19" max="19" width="7" bestFit="1" customWidth="1"/>
    <col min="20" max="20" width="12" bestFit="1" customWidth="1"/>
    <col min="21" max="21" width="28.5546875" bestFit="1" customWidth="1"/>
    <col min="22" max="22" width="24.6640625" bestFit="1" customWidth="1"/>
    <col min="23" max="23" width="28.5546875" bestFit="1" customWidth="1"/>
    <col min="24" max="24" width="24.6640625" bestFit="1" customWidth="1"/>
    <col min="25" max="25" width="28.5546875" bestFit="1" customWidth="1"/>
    <col min="26" max="26" width="24.6640625" bestFit="1" customWidth="1"/>
    <col min="27" max="27" width="28.5546875" bestFit="1" customWidth="1"/>
    <col min="28" max="28" width="24.6640625" bestFit="1" customWidth="1"/>
    <col min="29" max="29" width="28.5546875" bestFit="1" customWidth="1"/>
    <col min="30" max="30" width="24.6640625" bestFit="1" customWidth="1"/>
    <col min="31" max="31" width="28.5546875" bestFit="1" customWidth="1"/>
    <col min="32" max="32" width="24.6640625" bestFit="1" customWidth="1"/>
    <col min="33" max="33" width="28.5546875" bestFit="1" customWidth="1"/>
    <col min="34" max="34" width="24.6640625" bestFit="1" customWidth="1"/>
    <col min="35" max="35" width="28.5546875" bestFit="1" customWidth="1"/>
    <col min="36" max="36" width="24.6640625" bestFit="1" customWidth="1"/>
    <col min="37" max="37" width="28.5546875" bestFit="1" customWidth="1"/>
    <col min="38" max="38" width="29.5546875" bestFit="1" customWidth="1"/>
    <col min="39" max="39" width="33.33203125" bestFit="1" customWidth="1"/>
    <col min="40" max="40" width="29.5546875" bestFit="1" customWidth="1"/>
    <col min="41" max="41" width="34.77734375" bestFit="1" customWidth="1"/>
  </cols>
  <sheetData>
    <row r="3" spans="1:3" x14ac:dyDescent="0.3">
      <c r="A3" s="9" t="s">
        <v>27</v>
      </c>
      <c r="B3" t="s">
        <v>30</v>
      </c>
      <c r="C3" t="s">
        <v>32</v>
      </c>
    </row>
    <row r="4" spans="1:3" x14ac:dyDescent="0.3">
      <c r="A4" s="10">
        <v>23</v>
      </c>
      <c r="B4">
        <v>136032376.68134999</v>
      </c>
    </row>
    <row r="5" spans="1:3" x14ac:dyDescent="0.3">
      <c r="A5" s="11" t="s">
        <v>16</v>
      </c>
      <c r="B5">
        <v>5800290</v>
      </c>
    </row>
    <row r="6" spans="1:3" x14ac:dyDescent="0.3">
      <c r="A6" s="11" t="s">
        <v>11</v>
      </c>
      <c r="B6">
        <v>6829921.5</v>
      </c>
    </row>
    <row r="7" spans="1:3" x14ac:dyDescent="0.3">
      <c r="A7" s="11" t="s">
        <v>17</v>
      </c>
      <c r="B7">
        <v>3865251</v>
      </c>
    </row>
    <row r="8" spans="1:3" x14ac:dyDescent="0.3">
      <c r="A8" s="11" t="s">
        <v>10</v>
      </c>
      <c r="B8">
        <v>2945035.5</v>
      </c>
    </row>
    <row r="9" spans="1:3" x14ac:dyDescent="0.3">
      <c r="A9" s="11" t="s">
        <v>20</v>
      </c>
      <c r="B9">
        <v>2538967.5</v>
      </c>
    </row>
    <row r="10" spans="1:3" x14ac:dyDescent="0.3">
      <c r="A10" s="11" t="s">
        <v>22</v>
      </c>
      <c r="B10">
        <v>18914194.5</v>
      </c>
    </row>
    <row r="11" spans="1:3" x14ac:dyDescent="0.3">
      <c r="A11" s="11" t="s">
        <v>21</v>
      </c>
      <c r="B11">
        <v>19465372.5</v>
      </c>
    </row>
    <row r="12" spans="1:3" x14ac:dyDescent="0.3">
      <c r="A12" s="11" t="s">
        <v>13</v>
      </c>
      <c r="B12">
        <v>3013512</v>
      </c>
    </row>
    <row r="13" spans="1:3" x14ac:dyDescent="0.3">
      <c r="A13" s="11" t="s">
        <v>23</v>
      </c>
      <c r="B13">
        <v>1293219</v>
      </c>
    </row>
    <row r="14" spans="1:3" x14ac:dyDescent="0.3">
      <c r="A14" s="11" t="s">
        <v>18</v>
      </c>
      <c r="B14">
        <v>1526608.5</v>
      </c>
    </row>
    <row r="15" spans="1:3" x14ac:dyDescent="0.3">
      <c r="A15" s="11" t="s">
        <v>19</v>
      </c>
      <c r="B15">
        <v>1565632.5</v>
      </c>
    </row>
    <row r="16" spans="1:3" x14ac:dyDescent="0.3">
      <c r="A16" s="11" t="s">
        <v>9</v>
      </c>
      <c r="B16">
        <v>636345</v>
      </c>
    </row>
    <row r="17" spans="1:2" x14ac:dyDescent="0.3">
      <c r="A17" s="11" t="s">
        <v>15</v>
      </c>
      <c r="B17">
        <v>37257840.18135</v>
      </c>
    </row>
    <row r="18" spans="1:2" x14ac:dyDescent="0.3">
      <c r="A18" s="11" t="s">
        <v>14</v>
      </c>
      <c r="B18">
        <v>27770092.5</v>
      </c>
    </row>
    <row r="19" spans="1:2" x14ac:dyDescent="0.3">
      <c r="A19" s="11" t="s">
        <v>12</v>
      </c>
      <c r="B19">
        <v>1007742</v>
      </c>
    </row>
    <row r="20" spans="1:2" x14ac:dyDescent="0.3">
      <c r="A20" s="11" t="s">
        <v>25</v>
      </c>
      <c r="B20">
        <v>389013</v>
      </c>
    </row>
    <row r="21" spans="1:2" x14ac:dyDescent="0.3">
      <c r="A21" s="11" t="s">
        <v>24</v>
      </c>
      <c r="B21">
        <v>802447.5</v>
      </c>
    </row>
    <row r="22" spans="1:2" x14ac:dyDescent="0.3">
      <c r="A22" s="11" t="s">
        <v>26</v>
      </c>
      <c r="B22">
        <v>410892</v>
      </c>
    </row>
    <row r="23" spans="1:2" x14ac:dyDescent="0.3">
      <c r="A23" s="10" t="s">
        <v>28</v>
      </c>
      <c r="B23">
        <v>136032376.68134999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BECD-DE8D-45B4-A244-39AEBFB22D66}">
  <dimension ref="A1:G39"/>
  <sheetViews>
    <sheetView tabSelected="1" zoomScale="71" workbookViewId="0">
      <selection activeCell="K24" sqref="K24"/>
    </sheetView>
  </sheetViews>
  <sheetFormatPr defaultRowHeight="14.4" x14ac:dyDescent="0.3"/>
  <cols>
    <col min="1" max="1" width="22.44140625" bestFit="1" customWidth="1"/>
    <col min="2" max="2" width="20.88671875" bestFit="1" customWidth="1"/>
    <col min="3" max="3" width="26.77734375" bestFit="1" customWidth="1"/>
    <col min="4" max="4" width="26.77734375" style="32" bestFit="1" customWidth="1"/>
    <col min="5" max="5" width="22.77734375" bestFit="1" customWidth="1"/>
    <col min="6" max="6" width="17.77734375" bestFit="1" customWidth="1"/>
    <col min="7" max="7" width="27.33203125" style="32" bestFit="1" customWidth="1"/>
  </cols>
  <sheetData>
    <row r="1" spans="1:7" x14ac:dyDescent="0.3">
      <c r="A1" s="19" t="s">
        <v>539</v>
      </c>
      <c r="B1" s="19" t="s">
        <v>3</v>
      </c>
      <c r="C1" s="29" t="s">
        <v>541</v>
      </c>
      <c r="D1"/>
      <c r="E1" s="19" t="s">
        <v>539</v>
      </c>
      <c r="F1" s="19" t="s">
        <v>3</v>
      </c>
      <c r="G1" s="29" t="s">
        <v>540</v>
      </c>
    </row>
    <row r="2" spans="1:7" x14ac:dyDescent="0.3">
      <c r="A2" s="21" t="s">
        <v>15</v>
      </c>
      <c r="B2" s="22">
        <v>37257840.18135</v>
      </c>
      <c r="C2" s="30">
        <f t="shared" ref="C2:C19" si="0">B2 / SUM($B$2:$B$19)</f>
        <v>0.27388950403053602</v>
      </c>
      <c r="D2"/>
      <c r="E2" s="21" t="s">
        <v>22</v>
      </c>
      <c r="F2" s="22">
        <v>350262.86111111112</v>
      </c>
      <c r="G2" s="30">
        <f t="shared" ref="G2:G19" si="1">F2 / SUM($F$2:$F$19)</f>
        <v>0.1290484804383866</v>
      </c>
    </row>
    <row r="3" spans="1:7" x14ac:dyDescent="0.3">
      <c r="A3" s="21" t="s">
        <v>14</v>
      </c>
      <c r="B3" s="22">
        <v>27770092.5</v>
      </c>
      <c r="C3" s="30">
        <f t="shared" si="0"/>
        <v>0.20414325749119455</v>
      </c>
      <c r="D3"/>
      <c r="E3" s="21" t="s">
        <v>21</v>
      </c>
      <c r="F3" s="22">
        <v>329921.56779661018</v>
      </c>
      <c r="G3" s="30">
        <f t="shared" si="1"/>
        <v>0.1215540718560415</v>
      </c>
    </row>
    <row r="4" spans="1:7" x14ac:dyDescent="0.3">
      <c r="A4" s="21" t="s">
        <v>21</v>
      </c>
      <c r="B4" s="22">
        <v>19465372.5</v>
      </c>
      <c r="C4" s="30">
        <f t="shared" si="0"/>
        <v>0.14309367354212152</v>
      </c>
      <c r="D4"/>
      <c r="E4" s="21" t="s">
        <v>15</v>
      </c>
      <c r="F4" s="22">
        <v>302909.26976707316</v>
      </c>
      <c r="G4" s="30">
        <f t="shared" si="1"/>
        <v>0.11160184339881214</v>
      </c>
    </row>
    <row r="5" spans="1:7" x14ac:dyDescent="0.3">
      <c r="A5" s="20" t="s">
        <v>22</v>
      </c>
      <c r="B5" s="19">
        <v>18914194.5</v>
      </c>
      <c r="C5" s="31">
        <f t="shared" si="0"/>
        <v>0.13904185872092562</v>
      </c>
      <c r="D5"/>
      <c r="E5" s="20" t="s">
        <v>11</v>
      </c>
      <c r="F5" s="19">
        <v>220320.04838709679</v>
      </c>
      <c r="G5" s="31">
        <f t="shared" si="1"/>
        <v>8.1173229055099272E-2</v>
      </c>
    </row>
    <row r="6" spans="1:7" x14ac:dyDescent="0.3">
      <c r="A6" s="20" t="s">
        <v>11</v>
      </c>
      <c r="B6" s="19">
        <v>6829921.5</v>
      </c>
      <c r="C6" s="33">
        <f t="shared" si="0"/>
        <v>5.0208058306580927E-2</v>
      </c>
      <c r="D6"/>
      <c r="E6" s="20" t="s">
        <v>14</v>
      </c>
      <c r="F6" s="19">
        <v>216953.84765625</v>
      </c>
      <c r="G6" s="31">
        <f t="shared" si="1"/>
        <v>7.9933008816538045E-2</v>
      </c>
    </row>
    <row r="7" spans="1:7" x14ac:dyDescent="0.3">
      <c r="A7" s="20" t="s">
        <v>16</v>
      </c>
      <c r="B7" s="19">
        <v>5800290</v>
      </c>
      <c r="C7" s="33">
        <f t="shared" si="0"/>
        <v>4.2639040363066878E-2</v>
      </c>
      <c r="D7"/>
      <c r="E7" s="20" t="s">
        <v>17</v>
      </c>
      <c r="F7" s="19">
        <v>168054.39130434784</v>
      </c>
      <c r="G7" s="31">
        <f t="shared" si="1"/>
        <v>6.1916823724980793E-2</v>
      </c>
    </row>
    <row r="8" spans="1:7" x14ac:dyDescent="0.3">
      <c r="A8" s="20" t="s">
        <v>17</v>
      </c>
      <c r="B8" s="19">
        <v>3865251</v>
      </c>
      <c r="C8" s="33">
        <f t="shared" si="0"/>
        <v>2.8414198842193168E-2</v>
      </c>
      <c r="D8"/>
      <c r="E8" s="20" t="s">
        <v>16</v>
      </c>
      <c r="F8" s="19">
        <v>156764.59459459459</v>
      </c>
      <c r="G8" s="31">
        <f t="shared" si="1"/>
        <v>5.7757287354980716E-2</v>
      </c>
    </row>
    <row r="9" spans="1:7" x14ac:dyDescent="0.3">
      <c r="A9" s="20" t="s">
        <v>13</v>
      </c>
      <c r="B9" s="19">
        <v>3013512</v>
      </c>
      <c r="C9" s="31">
        <f t="shared" si="0"/>
        <v>2.2152902665657476E-2</v>
      </c>
      <c r="D9"/>
      <c r="E9" s="20" t="s">
        <v>13</v>
      </c>
      <c r="F9" s="19">
        <v>150675.6</v>
      </c>
      <c r="G9" s="31">
        <f t="shared" si="1"/>
        <v>5.5513899353931084E-2</v>
      </c>
    </row>
    <row r="10" spans="1:7" x14ac:dyDescent="0.3">
      <c r="A10" s="20" t="s">
        <v>10</v>
      </c>
      <c r="B10" s="19">
        <v>2945035.5</v>
      </c>
      <c r="C10" s="31">
        <f t="shared" si="0"/>
        <v>2.1649518826673295E-2</v>
      </c>
      <c r="D10"/>
      <c r="E10" s="20" t="s">
        <v>10</v>
      </c>
      <c r="F10" s="19">
        <v>140239.78571428571</v>
      </c>
      <c r="G10" s="31">
        <f t="shared" si="1"/>
        <v>5.1668998494512175E-2</v>
      </c>
    </row>
    <row r="11" spans="1:7" x14ac:dyDescent="0.3">
      <c r="A11" s="20" t="s">
        <v>20</v>
      </c>
      <c r="B11" s="19">
        <v>2538967.5</v>
      </c>
      <c r="C11" s="31">
        <f t="shared" si="0"/>
        <v>1.866443534944201E-2</v>
      </c>
      <c r="D11"/>
      <c r="E11" s="20" t="s">
        <v>20</v>
      </c>
      <c r="F11" s="19">
        <v>120903.21428571429</v>
      </c>
      <c r="G11" s="31">
        <f t="shared" si="1"/>
        <v>4.4544762850945378E-2</v>
      </c>
    </row>
    <row r="12" spans="1:7" x14ac:dyDescent="0.3">
      <c r="A12" s="20" t="s">
        <v>19</v>
      </c>
      <c r="B12" s="19">
        <v>1565632.5</v>
      </c>
      <c r="C12" s="31">
        <f t="shared" si="0"/>
        <v>1.1509263737025098E-2</v>
      </c>
      <c r="D12"/>
      <c r="E12" s="20" t="s">
        <v>24</v>
      </c>
      <c r="F12" s="19">
        <v>114635.35714285714</v>
      </c>
      <c r="G12" s="31">
        <f t="shared" si="1"/>
        <v>4.2235475941894481E-2</v>
      </c>
    </row>
    <row r="13" spans="1:7" x14ac:dyDescent="0.3">
      <c r="A13" s="20" t="s">
        <v>18</v>
      </c>
      <c r="B13" s="19">
        <v>1526608.5</v>
      </c>
      <c r="C13" s="31">
        <f t="shared" si="0"/>
        <v>1.1222390854612612E-2</v>
      </c>
      <c r="D13"/>
      <c r="E13" s="20" t="s">
        <v>12</v>
      </c>
      <c r="F13" s="19">
        <v>100774.2</v>
      </c>
      <c r="G13" s="31">
        <f t="shared" si="1"/>
        <v>3.7128564918758718E-2</v>
      </c>
    </row>
    <row r="14" spans="1:7" x14ac:dyDescent="0.3">
      <c r="A14" s="20" t="s">
        <v>23</v>
      </c>
      <c r="B14" s="19">
        <v>1293219</v>
      </c>
      <c r="C14" s="31">
        <f t="shared" si="0"/>
        <v>9.5067000338405466E-3</v>
      </c>
      <c r="D14"/>
      <c r="E14" s="20" t="s">
        <v>19</v>
      </c>
      <c r="F14" s="19">
        <v>97852.03125</v>
      </c>
      <c r="G14" s="31">
        <f t="shared" si="1"/>
        <v>3.6051940821143033E-2</v>
      </c>
    </row>
    <row r="15" spans="1:7" x14ac:dyDescent="0.3">
      <c r="A15" s="20" t="s">
        <v>12</v>
      </c>
      <c r="B15" s="19">
        <v>1007742</v>
      </c>
      <c r="C15" s="31">
        <f t="shared" si="0"/>
        <v>7.4081040454111336E-3</v>
      </c>
      <c r="D15"/>
      <c r="E15" s="20" t="s">
        <v>18</v>
      </c>
      <c r="F15" s="19">
        <v>89800.5</v>
      </c>
      <c r="G15" s="31">
        <f t="shared" si="1"/>
        <v>3.3085489083386349E-2</v>
      </c>
    </row>
    <row r="16" spans="1:7" x14ac:dyDescent="0.3">
      <c r="A16" s="20" t="s">
        <v>24</v>
      </c>
      <c r="B16" s="19">
        <v>802447.5</v>
      </c>
      <c r="C16" s="31">
        <f t="shared" si="0"/>
        <v>5.8989449392602969E-3</v>
      </c>
      <c r="D16"/>
      <c r="E16" s="20" t="s">
        <v>26</v>
      </c>
      <c r="F16" s="19">
        <v>68482</v>
      </c>
      <c r="G16" s="31">
        <f t="shared" si="1"/>
        <v>2.5231045076680687E-2</v>
      </c>
    </row>
    <row r="17" spans="1:7" x14ac:dyDescent="0.3">
      <c r="A17" s="20" t="s">
        <v>9</v>
      </c>
      <c r="B17" s="19">
        <v>636345</v>
      </c>
      <c r="C17" s="31">
        <f t="shared" si="0"/>
        <v>4.6778937156307342E-3</v>
      </c>
      <c r="D17"/>
      <c r="E17" s="20" t="s">
        <v>25</v>
      </c>
      <c r="F17" s="19">
        <v>43223.666666666664</v>
      </c>
      <c r="G17" s="31">
        <f t="shared" si="1"/>
        <v>1.5925035513654495E-2</v>
      </c>
    </row>
    <row r="18" spans="1:7" x14ac:dyDescent="0.3">
      <c r="A18" s="20" t="s">
        <v>26</v>
      </c>
      <c r="B18" s="19">
        <v>410892</v>
      </c>
      <c r="C18" s="31">
        <f t="shared" si="0"/>
        <v>3.0205456232121628E-3</v>
      </c>
      <c r="D18"/>
      <c r="E18" s="20" t="s">
        <v>9</v>
      </c>
      <c r="F18" s="19">
        <v>42423</v>
      </c>
      <c r="G18" s="31">
        <f t="shared" si="1"/>
        <v>1.5630043300254443E-2</v>
      </c>
    </row>
    <row r="19" spans="1:7" x14ac:dyDescent="0.3">
      <c r="A19" s="20" t="s">
        <v>25</v>
      </c>
      <c r="B19" s="19">
        <v>389013</v>
      </c>
      <c r="C19" s="31">
        <f t="shared" si="0"/>
        <v>2.8597089126160477E-3</v>
      </c>
      <c r="D19"/>
      <c r="E19" s="20" t="s">
        <v>23</v>
      </c>
      <c r="F19" s="19">
        <v>0</v>
      </c>
      <c r="G19" s="31">
        <f t="shared" si="1"/>
        <v>0</v>
      </c>
    </row>
    <row r="21" spans="1:7" x14ac:dyDescent="0.3">
      <c r="A21" s="32"/>
      <c r="G21"/>
    </row>
    <row r="22" spans="1:7" x14ac:dyDescent="0.3">
      <c r="A22" s="32"/>
      <c r="G22"/>
    </row>
    <row r="23" spans="1:7" x14ac:dyDescent="0.3">
      <c r="A23" s="32"/>
      <c r="G23"/>
    </row>
    <row r="24" spans="1:7" x14ac:dyDescent="0.3">
      <c r="A24" s="32"/>
      <c r="G24"/>
    </row>
    <row r="25" spans="1:7" x14ac:dyDescent="0.3">
      <c r="A25" s="32"/>
      <c r="G25"/>
    </row>
    <row r="26" spans="1:7" x14ac:dyDescent="0.3">
      <c r="A26" s="32"/>
      <c r="G26"/>
    </row>
    <row r="27" spans="1:7" x14ac:dyDescent="0.3">
      <c r="A27" s="32"/>
      <c r="G27"/>
    </row>
    <row r="28" spans="1:7" x14ac:dyDescent="0.3">
      <c r="A28" s="32"/>
      <c r="G28"/>
    </row>
    <row r="29" spans="1:7" x14ac:dyDescent="0.3">
      <c r="A29" s="32"/>
      <c r="G29"/>
    </row>
    <row r="30" spans="1:7" x14ac:dyDescent="0.3">
      <c r="A30" s="32"/>
      <c r="G30"/>
    </row>
    <row r="31" spans="1:7" x14ac:dyDescent="0.3">
      <c r="A31" s="32"/>
      <c r="G31"/>
    </row>
    <row r="32" spans="1:7" x14ac:dyDescent="0.3">
      <c r="A32" s="32"/>
      <c r="G32"/>
    </row>
    <row r="33" spans="1:7" x14ac:dyDescent="0.3">
      <c r="A33" s="32"/>
      <c r="G33"/>
    </row>
    <row r="34" spans="1:7" x14ac:dyDescent="0.3">
      <c r="A34" s="32"/>
      <c r="G34"/>
    </row>
    <row r="35" spans="1:7" x14ac:dyDescent="0.3">
      <c r="A35" s="32"/>
      <c r="G35"/>
    </row>
    <row r="36" spans="1:7" x14ac:dyDescent="0.3">
      <c r="A36" s="32"/>
      <c r="G36"/>
    </row>
    <row r="37" spans="1:7" x14ac:dyDescent="0.3">
      <c r="A37" s="32"/>
      <c r="G37"/>
    </row>
    <row r="38" spans="1:7" x14ac:dyDescent="0.3">
      <c r="A38" s="32"/>
      <c r="G38"/>
    </row>
    <row r="39" spans="1:7" x14ac:dyDescent="0.3">
      <c r="A39" s="32"/>
      <c r="G39"/>
    </row>
  </sheetData>
  <sortState xmlns:xlrd2="http://schemas.microsoft.com/office/spreadsheetml/2017/richdata2" ref="E2:G39">
    <sortCondition descending="1" ref="G2:G3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zoomScale="64" workbookViewId="0">
      <selection activeCell="F13" sqref="F13"/>
    </sheetView>
  </sheetViews>
  <sheetFormatPr defaultColWidth="14.44140625" defaultRowHeight="15" customHeight="1" x14ac:dyDescent="0.3"/>
  <cols>
    <col min="1" max="1" width="11.6640625" style="8" bestFit="1" customWidth="1"/>
    <col min="2" max="2" width="21.6640625" customWidth="1"/>
    <col min="3" max="3" width="22" customWidth="1"/>
    <col min="4" max="4" width="20.33203125" style="12" customWidth="1"/>
    <col min="5" max="7" width="22" customWidth="1"/>
    <col min="8" max="8" width="23.44140625" style="12" customWidth="1"/>
    <col min="9" max="9" width="8.6640625" customWidth="1"/>
    <col min="10" max="10" width="33.44140625" hidden="1" customWidth="1"/>
    <col min="11" max="20" width="8.6640625" customWidth="1"/>
  </cols>
  <sheetData>
    <row r="1" spans="1:20" ht="14.25" customHeight="1" x14ac:dyDescent="0.3">
      <c r="A1" s="13" t="s">
        <v>0</v>
      </c>
      <c r="B1" s="1" t="s">
        <v>1</v>
      </c>
      <c r="C1" s="1" t="s">
        <v>2</v>
      </c>
      <c r="D1" s="25" t="s">
        <v>3</v>
      </c>
      <c r="E1" s="2" t="s">
        <v>4</v>
      </c>
      <c r="F1" s="2" t="s">
        <v>5</v>
      </c>
      <c r="G1" s="2" t="s">
        <v>6</v>
      </c>
      <c r="H1" s="23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4.25" customHeight="1" x14ac:dyDescent="0.3">
      <c r="A2" s="14">
        <v>43982</v>
      </c>
      <c r="B2" s="4" t="s">
        <v>9</v>
      </c>
      <c r="C2" s="4">
        <v>7944</v>
      </c>
      <c r="D2" s="26">
        <v>623971.5</v>
      </c>
      <c r="E2" s="5">
        <f>IFERROR(VLOOKUP(J2,Sheet2!C2:F505,2),0)</f>
        <v>15</v>
      </c>
      <c r="F2" s="5">
        <f>IFERROR(VLOOKUP(J2,Sheet2!C2:F505,3),0)</f>
        <v>441</v>
      </c>
      <c r="G2" s="5">
        <f>IFERROR(VLOOKUP(J2, Sheet2!C2:F505,4),0)</f>
        <v>368</v>
      </c>
      <c r="H2" s="12">
        <f>IF(VALUE(E2)&gt;0, D2/VALUE(E2), 0)</f>
        <v>41598.1</v>
      </c>
      <c r="I2">
        <f>_xlfn.ISOWEEKNUM(A2)</f>
        <v>22</v>
      </c>
      <c r="J2" t="str">
        <f>TEXT(A2,"yyyy-mm-dd") &amp; TRIM(B2)</f>
        <v>2020-05-31Самара</v>
      </c>
    </row>
    <row r="3" spans="1:20" ht="14.25" customHeight="1" x14ac:dyDescent="0.3">
      <c r="A3" s="15">
        <v>43981</v>
      </c>
      <c r="B3" s="6" t="s">
        <v>9</v>
      </c>
      <c r="C3" s="6">
        <v>10029</v>
      </c>
      <c r="D3" s="27">
        <v>787101</v>
      </c>
      <c r="E3" s="5">
        <f>IFERROR(VLOOKUP(J3,Sheet2!C3:F506,2),0)</f>
        <v>15</v>
      </c>
      <c r="F3" s="5">
        <f>IFERROR(VLOOKUP(J3,Sheet2!C3:F506,3),0)</f>
        <v>490</v>
      </c>
      <c r="G3" s="5">
        <f>IFERROR(VLOOKUP(J3, Sheet2!C3:F506,4),0)</f>
        <v>409</v>
      </c>
      <c r="H3" s="12">
        <f t="shared" ref="H3:H66" si="0">IF(VALUE(E3)&gt;0, D3/VALUE(E3), 0)</f>
        <v>52473.4</v>
      </c>
      <c r="I3">
        <f t="shared" ref="I3:I66" si="1">_xlfn.ISOWEEKNUM(A3)</f>
        <v>22</v>
      </c>
      <c r="J3" t="str">
        <f t="shared" ref="J3:J66" si="2">TEXT(A3,"yyyy-mm-dd") &amp; TRIM(B3)</f>
        <v>2020-05-30Самара</v>
      </c>
    </row>
    <row r="4" spans="1:20" ht="14.25" customHeight="1" x14ac:dyDescent="0.3">
      <c r="A4" s="14">
        <v>43979</v>
      </c>
      <c r="B4" s="4" t="s">
        <v>9</v>
      </c>
      <c r="C4" s="4">
        <v>8536.5</v>
      </c>
      <c r="D4" s="26">
        <v>643944</v>
      </c>
      <c r="E4" s="5">
        <f>IFERROR(VLOOKUP(J4,Sheet2!C4:F507,2),0)</f>
        <v>15</v>
      </c>
      <c r="F4" s="5">
        <f>IFERROR(VLOOKUP(J4,Sheet2!C4:F507,3),0)</f>
        <v>464</v>
      </c>
      <c r="G4" s="5">
        <f>IFERROR(VLOOKUP(J4, Sheet2!C4:F507,4),0)</f>
        <v>390</v>
      </c>
      <c r="H4" s="12">
        <f t="shared" si="0"/>
        <v>42929.599999999999</v>
      </c>
      <c r="I4">
        <f t="shared" si="1"/>
        <v>22</v>
      </c>
      <c r="J4" t="str">
        <f t="shared" si="2"/>
        <v>2020-05-28Самара</v>
      </c>
    </row>
    <row r="5" spans="1:20" ht="14.25" customHeight="1" x14ac:dyDescent="0.3">
      <c r="A5" s="15">
        <v>43967</v>
      </c>
      <c r="B5" s="6" t="s">
        <v>10</v>
      </c>
      <c r="C5" s="6">
        <v>38947.5</v>
      </c>
      <c r="D5" s="27">
        <v>3395892</v>
      </c>
      <c r="E5" s="5">
        <f>IFERROR(VLOOKUP(J5,Sheet2!C5:F508,2),0)</f>
        <v>21</v>
      </c>
      <c r="F5" s="5">
        <f>IFERROR(VLOOKUP(J5,Sheet2!C5:F508,3),0)</f>
        <v>2145</v>
      </c>
      <c r="G5" s="5">
        <f>IFERROR(VLOOKUP(J5, Sheet2!C5:F508,4),0)</f>
        <v>1947</v>
      </c>
      <c r="H5" s="12">
        <f t="shared" si="0"/>
        <v>161709.14285714287</v>
      </c>
      <c r="I5">
        <f t="shared" si="1"/>
        <v>20</v>
      </c>
      <c r="J5" t="str">
        <f t="shared" si="2"/>
        <v>2020-05-16Кемерово</v>
      </c>
    </row>
    <row r="6" spans="1:20" ht="14.25" customHeight="1" x14ac:dyDescent="0.3">
      <c r="A6" s="14">
        <v>43970</v>
      </c>
      <c r="B6" s="4" t="s">
        <v>10</v>
      </c>
      <c r="C6" s="4">
        <v>31842</v>
      </c>
      <c r="D6" s="26">
        <v>2771116.5</v>
      </c>
      <c r="E6" s="5">
        <f>IFERROR(VLOOKUP(J6,Sheet2!C6:F509,2),0)</f>
        <v>21</v>
      </c>
      <c r="F6" s="5">
        <f>IFERROR(VLOOKUP(J6,Sheet2!C6:F509,3),0)</f>
        <v>1860</v>
      </c>
      <c r="G6" s="5">
        <f>IFERROR(VLOOKUP(J6, Sheet2!C6:F509,4),0)</f>
        <v>1704</v>
      </c>
      <c r="H6" s="12">
        <f t="shared" si="0"/>
        <v>131957.92857142858</v>
      </c>
      <c r="I6">
        <f t="shared" si="1"/>
        <v>21</v>
      </c>
      <c r="J6" t="str">
        <f t="shared" si="2"/>
        <v>2020-05-19Кемерово</v>
      </c>
    </row>
    <row r="7" spans="1:20" ht="14.25" customHeight="1" x14ac:dyDescent="0.3">
      <c r="A7" s="15">
        <v>43968</v>
      </c>
      <c r="B7" s="6" t="s">
        <v>10</v>
      </c>
      <c r="C7" s="6">
        <v>32023.5</v>
      </c>
      <c r="D7" s="27">
        <v>2882458.5</v>
      </c>
      <c r="E7" s="5">
        <f>IFERROR(VLOOKUP(J7,Sheet2!C7:F510,2),0)</f>
        <v>21</v>
      </c>
      <c r="F7" s="5">
        <f>IFERROR(VLOOKUP(J7,Sheet2!C7:F510,3),0)</f>
        <v>1874</v>
      </c>
      <c r="G7" s="5">
        <f>IFERROR(VLOOKUP(J7, Sheet2!C7:F510,4),0)</f>
        <v>1705</v>
      </c>
      <c r="H7" s="12">
        <f t="shared" si="0"/>
        <v>137259.92857142858</v>
      </c>
      <c r="I7">
        <f t="shared" si="1"/>
        <v>20</v>
      </c>
      <c r="J7" t="str">
        <f t="shared" si="2"/>
        <v>2020-05-17Кемерово</v>
      </c>
    </row>
    <row r="8" spans="1:20" ht="14.25" customHeight="1" x14ac:dyDescent="0.3">
      <c r="A8" s="14">
        <v>43960</v>
      </c>
      <c r="B8" s="4" t="s">
        <v>10</v>
      </c>
      <c r="C8" s="4">
        <v>31147.5</v>
      </c>
      <c r="D8" s="26">
        <v>2831019</v>
      </c>
      <c r="E8" s="5">
        <f>IFERROR(VLOOKUP(J8,Sheet2!C8:F511,2),0)</f>
        <v>21</v>
      </c>
      <c r="F8" s="5">
        <f>IFERROR(VLOOKUP(J8,Sheet2!C8:F511,3),0)</f>
        <v>1735</v>
      </c>
      <c r="G8" s="5">
        <f>IFERROR(VLOOKUP(J8, Sheet2!C8:F511,4),0)</f>
        <v>1568</v>
      </c>
      <c r="H8" s="12">
        <f t="shared" si="0"/>
        <v>134810.42857142858</v>
      </c>
      <c r="I8">
        <f t="shared" si="1"/>
        <v>19</v>
      </c>
      <c r="J8" t="str">
        <f t="shared" si="2"/>
        <v>2020-05-09Кемерово</v>
      </c>
    </row>
    <row r="9" spans="1:20" ht="14.25" customHeight="1" x14ac:dyDescent="0.3">
      <c r="A9" s="15">
        <v>43955</v>
      </c>
      <c r="B9" s="6" t="s">
        <v>10</v>
      </c>
      <c r="C9" s="6">
        <v>25566</v>
      </c>
      <c r="D9" s="27">
        <v>2372310</v>
      </c>
      <c r="E9" s="5">
        <f>IFERROR(VLOOKUP(J9,Sheet2!C9:F512,2),0)</f>
        <v>20</v>
      </c>
      <c r="F9" s="5">
        <f>IFERROR(VLOOKUP(J9,Sheet2!C9:F512,3),0)</f>
        <v>1519</v>
      </c>
      <c r="G9" s="5">
        <f>IFERROR(VLOOKUP(J9, Sheet2!C9:F512,4),0)</f>
        <v>1372</v>
      </c>
      <c r="H9" s="12">
        <f t="shared" si="0"/>
        <v>118615.5</v>
      </c>
      <c r="I9">
        <f t="shared" si="1"/>
        <v>19</v>
      </c>
      <c r="J9" t="str">
        <f t="shared" si="2"/>
        <v>2020-05-04Кемерово</v>
      </c>
    </row>
    <row r="10" spans="1:20" ht="14.25" customHeight="1" x14ac:dyDescent="0.3">
      <c r="A10" s="14">
        <v>43950</v>
      </c>
      <c r="B10" s="4" t="s">
        <v>10</v>
      </c>
      <c r="C10" s="4">
        <v>29319</v>
      </c>
      <c r="D10" s="26">
        <v>2623480.5</v>
      </c>
      <c r="E10" s="5">
        <f>IFERROR(VLOOKUP(J10,Sheet2!C10:F513,2),0)</f>
        <v>18</v>
      </c>
      <c r="F10" s="5">
        <f>IFERROR(VLOOKUP(J10,Sheet2!C10:F513,3),0)</f>
        <v>1684</v>
      </c>
      <c r="G10" s="5">
        <f>IFERROR(VLOOKUP(J10, Sheet2!C10:F513,4),0)</f>
        <v>1528</v>
      </c>
      <c r="H10" s="12">
        <f t="shared" si="0"/>
        <v>145748.91666666666</v>
      </c>
      <c r="I10">
        <f t="shared" si="1"/>
        <v>18</v>
      </c>
      <c r="J10" t="str">
        <f t="shared" si="2"/>
        <v>2020-04-29Кемерово</v>
      </c>
    </row>
    <row r="11" spans="1:20" ht="14.25" customHeight="1" x14ac:dyDescent="0.3">
      <c r="A11" s="15">
        <v>43953</v>
      </c>
      <c r="B11" s="6" t="s">
        <v>10</v>
      </c>
      <c r="C11" s="6">
        <v>29031</v>
      </c>
      <c r="D11" s="27">
        <v>2711247</v>
      </c>
      <c r="E11" s="5">
        <f>IFERROR(VLOOKUP(J11,Sheet2!C11:F514,2),0)</f>
        <v>18</v>
      </c>
      <c r="F11" s="5">
        <f>IFERROR(VLOOKUP(J11,Sheet2!C11:F514,3),0)</f>
        <v>1708</v>
      </c>
      <c r="G11" s="5">
        <f>IFERROR(VLOOKUP(J11, Sheet2!C11:F514,4),0)</f>
        <v>1534</v>
      </c>
      <c r="H11" s="12">
        <f t="shared" si="0"/>
        <v>150624.83333333334</v>
      </c>
      <c r="I11">
        <f t="shared" si="1"/>
        <v>18</v>
      </c>
      <c r="J11" t="str">
        <f t="shared" si="2"/>
        <v>2020-05-02Кемерово</v>
      </c>
    </row>
    <row r="12" spans="1:20" ht="14.25" customHeight="1" x14ac:dyDescent="0.3">
      <c r="A12" s="14">
        <v>43977</v>
      </c>
      <c r="B12" s="4" t="s">
        <v>10</v>
      </c>
      <c r="C12" s="4">
        <v>33423</v>
      </c>
      <c r="D12" s="26">
        <v>2970330</v>
      </c>
      <c r="E12" s="5">
        <f>IFERROR(VLOOKUP(J12,Sheet2!C12:F515,2),0)</f>
        <v>20</v>
      </c>
      <c r="F12" s="5">
        <f>IFERROR(VLOOKUP(J12,Sheet2!C12:F515,3),0)</f>
        <v>2044</v>
      </c>
      <c r="G12" s="5">
        <f>IFERROR(VLOOKUP(J12, Sheet2!C12:F515,4),0)</f>
        <v>1863</v>
      </c>
      <c r="H12" s="12">
        <f t="shared" si="0"/>
        <v>148516.5</v>
      </c>
      <c r="I12">
        <f t="shared" si="1"/>
        <v>22</v>
      </c>
      <c r="J12" t="str">
        <f t="shared" si="2"/>
        <v>2020-05-26Кемерово</v>
      </c>
    </row>
    <row r="13" spans="1:20" ht="14.25" customHeight="1" x14ac:dyDescent="0.3">
      <c r="A13" s="15">
        <v>43952</v>
      </c>
      <c r="B13" s="6" t="s">
        <v>10</v>
      </c>
      <c r="C13" s="6">
        <v>32487</v>
      </c>
      <c r="D13" s="27">
        <v>3031254</v>
      </c>
      <c r="E13" s="5">
        <f>IFERROR(VLOOKUP(J13,Sheet2!C13:F516,2),0)</f>
        <v>18</v>
      </c>
      <c r="F13" s="5">
        <f>IFERROR(VLOOKUP(J13,Sheet2!C13:F516,3),0)</f>
        <v>1826</v>
      </c>
      <c r="G13" s="5">
        <f>IFERROR(VLOOKUP(J13, Sheet2!C13:F516,4),0)</f>
        <v>1633</v>
      </c>
      <c r="H13" s="12">
        <f t="shared" si="0"/>
        <v>168403</v>
      </c>
      <c r="I13">
        <f t="shared" si="1"/>
        <v>18</v>
      </c>
      <c r="J13" t="str">
        <f t="shared" si="2"/>
        <v>2020-05-01Кемерово</v>
      </c>
    </row>
    <row r="14" spans="1:20" ht="14.25" customHeight="1" x14ac:dyDescent="0.3">
      <c r="A14" s="14">
        <v>43963</v>
      </c>
      <c r="B14" s="4" t="s">
        <v>10</v>
      </c>
      <c r="C14" s="4">
        <v>28219.5</v>
      </c>
      <c r="D14" s="26">
        <v>2595778.5</v>
      </c>
      <c r="E14" s="5">
        <f>IFERROR(VLOOKUP(J14,Sheet2!C14:F517,2),0)</f>
        <v>21</v>
      </c>
      <c r="F14" s="5">
        <f>IFERROR(VLOOKUP(J14,Sheet2!C14:F517,3),0)</f>
        <v>1656</v>
      </c>
      <c r="G14" s="5">
        <f>IFERROR(VLOOKUP(J14, Sheet2!C14:F517,4),0)</f>
        <v>1516</v>
      </c>
      <c r="H14" s="12">
        <f t="shared" si="0"/>
        <v>123608.5</v>
      </c>
      <c r="I14">
        <f t="shared" si="1"/>
        <v>20</v>
      </c>
      <c r="J14" t="str">
        <f t="shared" si="2"/>
        <v>2020-05-12Кемерово</v>
      </c>
    </row>
    <row r="15" spans="1:20" ht="14.25" customHeight="1" x14ac:dyDescent="0.3">
      <c r="A15" s="15">
        <v>43972</v>
      </c>
      <c r="B15" s="6" t="s">
        <v>10</v>
      </c>
      <c r="C15" s="6">
        <v>31272</v>
      </c>
      <c r="D15" s="27">
        <v>2744382</v>
      </c>
      <c r="E15" s="5">
        <f>IFERROR(VLOOKUP(J15,Sheet2!C15:F518,2),0)</f>
        <v>21</v>
      </c>
      <c r="F15" s="5">
        <f>IFERROR(VLOOKUP(J15,Sheet2!C15:F518,3),0)</f>
        <v>1787</v>
      </c>
      <c r="G15" s="5">
        <f>IFERROR(VLOOKUP(J15, Sheet2!C15:F518,4),0)</f>
        <v>1626</v>
      </c>
      <c r="H15" s="12">
        <f t="shared" si="0"/>
        <v>130684.85714285714</v>
      </c>
      <c r="I15">
        <f t="shared" si="1"/>
        <v>21</v>
      </c>
      <c r="J15" t="str">
        <f t="shared" si="2"/>
        <v>2020-05-21Кемерово</v>
      </c>
    </row>
    <row r="16" spans="1:20" ht="14.25" customHeight="1" x14ac:dyDescent="0.3">
      <c r="A16" s="14">
        <v>43971</v>
      </c>
      <c r="B16" s="4" t="s">
        <v>10</v>
      </c>
      <c r="C16" s="4">
        <v>34077</v>
      </c>
      <c r="D16" s="26">
        <v>2929330.5</v>
      </c>
      <c r="E16" s="5">
        <f>IFERROR(VLOOKUP(J16,Sheet2!C16:F519,2),0)</f>
        <v>21</v>
      </c>
      <c r="F16" s="5">
        <f>IFERROR(VLOOKUP(J16,Sheet2!C16:F519,3),0)</f>
        <v>1921</v>
      </c>
      <c r="G16" s="5">
        <f>IFERROR(VLOOKUP(J16, Sheet2!C16:F519,4),0)</f>
        <v>1767</v>
      </c>
      <c r="H16" s="12">
        <f t="shared" si="0"/>
        <v>139491.92857142858</v>
      </c>
      <c r="I16">
        <f t="shared" si="1"/>
        <v>21</v>
      </c>
      <c r="J16" t="str">
        <f t="shared" si="2"/>
        <v>2020-05-20Кемерово</v>
      </c>
    </row>
    <row r="17" spans="1:10" ht="14.25" customHeight="1" x14ac:dyDescent="0.3">
      <c r="A17" s="15">
        <v>43956</v>
      </c>
      <c r="B17" s="6" t="s">
        <v>10</v>
      </c>
      <c r="C17" s="6">
        <v>31566</v>
      </c>
      <c r="D17" s="27">
        <v>2906763</v>
      </c>
      <c r="E17" s="5">
        <f>IFERROR(VLOOKUP(J17,Sheet2!C17:F520,2),0)</f>
        <v>20</v>
      </c>
      <c r="F17" s="5">
        <f>IFERROR(VLOOKUP(J17,Sheet2!C17:F520,3),0)</f>
        <v>1773</v>
      </c>
      <c r="G17" s="5">
        <f>IFERROR(VLOOKUP(J17, Sheet2!C17:F520,4),0)</f>
        <v>1604</v>
      </c>
      <c r="H17" s="12">
        <f t="shared" si="0"/>
        <v>145338.15</v>
      </c>
      <c r="I17">
        <f t="shared" si="1"/>
        <v>19</v>
      </c>
      <c r="J17" t="str">
        <f t="shared" si="2"/>
        <v>2020-05-05Кемерово</v>
      </c>
    </row>
    <row r="18" spans="1:10" ht="14.25" customHeight="1" x14ac:dyDescent="0.3">
      <c r="A18" s="14">
        <v>43949</v>
      </c>
      <c r="B18" s="4" t="s">
        <v>10</v>
      </c>
      <c r="C18" s="4">
        <v>26940</v>
      </c>
      <c r="D18" s="26">
        <v>2411587.5</v>
      </c>
      <c r="E18" s="5">
        <f>IFERROR(VLOOKUP(J18,Sheet2!C18:F521,2),0)</f>
        <v>0</v>
      </c>
      <c r="F18" s="5">
        <f>IFERROR(VLOOKUP(J18,Sheet2!C18:F521,3),0)</f>
        <v>0</v>
      </c>
      <c r="G18" s="5">
        <f>IFERROR(VLOOKUP(J18, Sheet2!C18:F521,4),0)</f>
        <v>0</v>
      </c>
      <c r="H18" s="12">
        <f t="shared" si="0"/>
        <v>0</v>
      </c>
      <c r="I18">
        <f t="shared" si="1"/>
        <v>18</v>
      </c>
      <c r="J18" t="str">
        <f t="shared" si="2"/>
        <v>2020-04-28Кемерово</v>
      </c>
    </row>
    <row r="19" spans="1:10" ht="14.25" customHeight="1" x14ac:dyDescent="0.3">
      <c r="A19" s="15">
        <v>43964</v>
      </c>
      <c r="B19" s="6" t="s">
        <v>10</v>
      </c>
      <c r="C19" s="6">
        <v>29241</v>
      </c>
      <c r="D19" s="27">
        <v>2629782</v>
      </c>
      <c r="E19" s="5">
        <f>IFERROR(VLOOKUP(J19,Sheet2!C19:F522,2),0)</f>
        <v>21</v>
      </c>
      <c r="F19" s="5">
        <f>IFERROR(VLOOKUP(J19,Sheet2!C19:F522,3),0)</f>
        <v>1698</v>
      </c>
      <c r="G19" s="5">
        <f>IFERROR(VLOOKUP(J19, Sheet2!C19:F522,4),0)</f>
        <v>1554</v>
      </c>
      <c r="H19" s="12">
        <f t="shared" si="0"/>
        <v>125227.71428571429</v>
      </c>
      <c r="I19">
        <f t="shared" si="1"/>
        <v>20</v>
      </c>
      <c r="J19" t="str">
        <f t="shared" si="2"/>
        <v>2020-05-13Кемерово</v>
      </c>
    </row>
    <row r="20" spans="1:10" ht="14.25" customHeight="1" x14ac:dyDescent="0.3">
      <c r="A20" s="14">
        <v>43954</v>
      </c>
      <c r="B20" s="4" t="s">
        <v>10</v>
      </c>
      <c r="C20" s="4">
        <v>26082</v>
      </c>
      <c r="D20" s="26">
        <v>2434914</v>
      </c>
      <c r="E20" s="5">
        <f>IFERROR(VLOOKUP(J20,Sheet2!C20:F523,2),0)</f>
        <v>20</v>
      </c>
      <c r="F20" s="5">
        <f>IFERROR(VLOOKUP(J20,Sheet2!C20:F523,3),0)</f>
        <v>1520</v>
      </c>
      <c r="G20" s="5">
        <f>IFERROR(VLOOKUP(J20, Sheet2!C20:F523,4),0)</f>
        <v>1373</v>
      </c>
      <c r="H20" s="12">
        <f t="shared" si="0"/>
        <v>121745.7</v>
      </c>
      <c r="I20">
        <f t="shared" si="1"/>
        <v>18</v>
      </c>
      <c r="J20" t="str">
        <f t="shared" si="2"/>
        <v>2020-05-03Кемерово</v>
      </c>
    </row>
    <row r="21" spans="1:10" ht="14.25" customHeight="1" x14ac:dyDescent="0.3">
      <c r="A21" s="15">
        <v>43957</v>
      </c>
      <c r="B21" s="6" t="s">
        <v>10</v>
      </c>
      <c r="C21" s="6">
        <v>32511</v>
      </c>
      <c r="D21" s="27">
        <v>2938623</v>
      </c>
      <c r="E21" s="5">
        <f>IFERROR(VLOOKUP(J21,Sheet2!C21:F524,2),0)</f>
        <v>20</v>
      </c>
      <c r="F21" s="5">
        <f>IFERROR(VLOOKUP(J21,Sheet2!C21:F524,3),0)</f>
        <v>1784</v>
      </c>
      <c r="G21" s="5">
        <f>IFERROR(VLOOKUP(J21, Sheet2!C21:F524,4),0)</f>
        <v>1632</v>
      </c>
      <c r="H21" s="12">
        <f t="shared" si="0"/>
        <v>146931.15</v>
      </c>
      <c r="I21">
        <f t="shared" si="1"/>
        <v>19</v>
      </c>
      <c r="J21" t="str">
        <f t="shared" si="2"/>
        <v>2020-05-06Кемерово</v>
      </c>
    </row>
    <row r="22" spans="1:10" ht="14.25" customHeight="1" x14ac:dyDescent="0.3">
      <c r="A22" s="14">
        <v>43974</v>
      </c>
      <c r="B22" s="4" t="s">
        <v>10</v>
      </c>
      <c r="C22" s="4">
        <v>42703.5</v>
      </c>
      <c r="D22" s="26">
        <v>3628726.5</v>
      </c>
      <c r="E22" s="5">
        <f>IFERROR(VLOOKUP(J22,Sheet2!C22:F525,2),0)</f>
        <v>21</v>
      </c>
      <c r="F22" s="5">
        <f>IFERROR(VLOOKUP(J22,Sheet2!C22:F525,3),0)</f>
        <v>2340</v>
      </c>
      <c r="G22" s="5">
        <f>IFERROR(VLOOKUP(J22, Sheet2!C22:F525,4),0)</f>
        <v>2146</v>
      </c>
      <c r="H22" s="12">
        <f t="shared" si="0"/>
        <v>172796.5</v>
      </c>
      <c r="I22">
        <f t="shared" si="1"/>
        <v>21</v>
      </c>
      <c r="J22" t="str">
        <f t="shared" si="2"/>
        <v>2020-05-23Кемерово</v>
      </c>
    </row>
    <row r="23" spans="1:10" ht="14.25" customHeight="1" x14ac:dyDescent="0.3">
      <c r="A23" s="15">
        <v>43976</v>
      </c>
      <c r="B23" s="6" t="s">
        <v>10</v>
      </c>
      <c r="C23" s="6">
        <v>35592</v>
      </c>
      <c r="D23" s="27">
        <v>3176580</v>
      </c>
      <c r="E23" s="5">
        <f>IFERROR(VLOOKUP(J23,Sheet2!C23:F526,2),0)</f>
        <v>20</v>
      </c>
      <c r="F23" s="5">
        <f>IFERROR(VLOOKUP(J23,Sheet2!C23:F526,3),0)</f>
        <v>2087</v>
      </c>
      <c r="G23" s="5">
        <f>IFERROR(VLOOKUP(J23, Sheet2!C23:F526,4),0)</f>
        <v>1914</v>
      </c>
      <c r="H23" s="12">
        <f t="shared" si="0"/>
        <v>158829</v>
      </c>
      <c r="I23">
        <f t="shared" si="1"/>
        <v>22</v>
      </c>
      <c r="J23" t="str">
        <f t="shared" si="2"/>
        <v>2020-05-25Кемерово</v>
      </c>
    </row>
    <row r="24" spans="1:10" ht="14.25" customHeight="1" x14ac:dyDescent="0.3">
      <c r="A24" s="14">
        <v>43951</v>
      </c>
      <c r="B24" s="4" t="s">
        <v>10</v>
      </c>
      <c r="C24" s="4">
        <v>30445.5</v>
      </c>
      <c r="D24" s="26">
        <v>2817196.5</v>
      </c>
      <c r="E24" s="5">
        <f>IFERROR(VLOOKUP(J24,Sheet2!C24:F527,2),0)</f>
        <v>19</v>
      </c>
      <c r="F24" s="5">
        <f>IFERROR(VLOOKUP(J24,Sheet2!C24:F527,3),0)</f>
        <v>1712</v>
      </c>
      <c r="G24" s="5">
        <f>IFERROR(VLOOKUP(J24, Sheet2!C24:F527,4),0)</f>
        <v>1552</v>
      </c>
      <c r="H24" s="12">
        <f t="shared" si="0"/>
        <v>148273.5</v>
      </c>
      <c r="I24">
        <f t="shared" si="1"/>
        <v>18</v>
      </c>
      <c r="J24" t="str">
        <f t="shared" si="2"/>
        <v>2020-04-30Кемерово</v>
      </c>
    </row>
    <row r="25" spans="1:10" ht="14.25" customHeight="1" x14ac:dyDescent="0.3">
      <c r="A25" s="15">
        <v>43961</v>
      </c>
      <c r="B25" s="6" t="s">
        <v>10</v>
      </c>
      <c r="C25" s="6">
        <v>36619.5</v>
      </c>
      <c r="D25" s="27">
        <v>3312967.5</v>
      </c>
      <c r="E25" s="5">
        <f>IFERROR(VLOOKUP(J25,Sheet2!C25:F528,2),0)</f>
        <v>21</v>
      </c>
      <c r="F25" s="5">
        <f>IFERROR(VLOOKUP(J25,Sheet2!C25:F528,3),0)</f>
        <v>2016</v>
      </c>
      <c r="G25" s="5">
        <f>IFERROR(VLOOKUP(J25, Sheet2!C25:F528,4),0)</f>
        <v>1846</v>
      </c>
      <c r="H25" s="12">
        <f t="shared" si="0"/>
        <v>157760.35714285713</v>
      </c>
      <c r="I25">
        <f t="shared" si="1"/>
        <v>19</v>
      </c>
      <c r="J25" t="str">
        <f t="shared" si="2"/>
        <v>2020-05-10Кемерово</v>
      </c>
    </row>
    <row r="26" spans="1:10" ht="14.25" customHeight="1" x14ac:dyDescent="0.3">
      <c r="A26" s="14">
        <v>43959</v>
      </c>
      <c r="B26" s="4" t="s">
        <v>10</v>
      </c>
      <c r="C26" s="4">
        <v>29409</v>
      </c>
      <c r="D26" s="26">
        <v>2645160</v>
      </c>
      <c r="E26" s="5">
        <f>IFERROR(VLOOKUP(J26,Sheet2!C26:F529,2),0)</f>
        <v>21</v>
      </c>
      <c r="F26" s="5">
        <f>IFERROR(VLOOKUP(J26,Sheet2!C26:F529,3),0)</f>
        <v>1646</v>
      </c>
      <c r="G26" s="5">
        <f>IFERROR(VLOOKUP(J26, Sheet2!C26:F529,4),0)</f>
        <v>1492</v>
      </c>
      <c r="H26" s="12">
        <f t="shared" si="0"/>
        <v>125960</v>
      </c>
      <c r="I26">
        <f t="shared" si="1"/>
        <v>19</v>
      </c>
      <c r="J26" t="str">
        <f t="shared" si="2"/>
        <v>2020-05-08Кемерово</v>
      </c>
    </row>
    <row r="27" spans="1:10" ht="14.25" customHeight="1" x14ac:dyDescent="0.3">
      <c r="A27" s="15">
        <v>43958</v>
      </c>
      <c r="B27" s="6" t="s">
        <v>10</v>
      </c>
      <c r="C27" s="6">
        <v>27018</v>
      </c>
      <c r="D27" s="27">
        <v>2472213</v>
      </c>
      <c r="E27" s="5">
        <f>IFERROR(VLOOKUP(J27,Sheet2!C27:F530,2),0)</f>
        <v>21</v>
      </c>
      <c r="F27" s="5">
        <f>IFERROR(VLOOKUP(J27,Sheet2!C27:F530,3),0)</f>
        <v>1542</v>
      </c>
      <c r="G27" s="5">
        <f>IFERROR(VLOOKUP(J27, Sheet2!C27:F530,4),0)</f>
        <v>1405</v>
      </c>
      <c r="H27" s="12">
        <f t="shared" si="0"/>
        <v>117724.42857142857</v>
      </c>
      <c r="I27">
        <f t="shared" si="1"/>
        <v>19</v>
      </c>
      <c r="J27" t="str">
        <f t="shared" si="2"/>
        <v>2020-05-07Кемерово</v>
      </c>
    </row>
    <row r="28" spans="1:10" ht="14.25" customHeight="1" x14ac:dyDescent="0.3">
      <c r="A28" s="14">
        <v>43975</v>
      </c>
      <c r="B28" s="4" t="s">
        <v>10</v>
      </c>
      <c r="C28" s="4">
        <v>34303.5</v>
      </c>
      <c r="D28" s="26">
        <v>2924746.5</v>
      </c>
      <c r="E28" s="5">
        <f>IFERROR(VLOOKUP(J28,Sheet2!C28:F531,2),0)</f>
        <v>20</v>
      </c>
      <c r="F28" s="5">
        <f>IFERROR(VLOOKUP(J28,Sheet2!C28:F531,3),0)</f>
        <v>1999</v>
      </c>
      <c r="G28" s="5">
        <f>IFERROR(VLOOKUP(J28, Sheet2!C28:F531,4),0)</f>
        <v>1829</v>
      </c>
      <c r="H28" s="12">
        <f t="shared" si="0"/>
        <v>146237.32500000001</v>
      </c>
      <c r="I28">
        <f t="shared" si="1"/>
        <v>21</v>
      </c>
      <c r="J28" t="str">
        <f t="shared" si="2"/>
        <v>2020-05-24Кемерово</v>
      </c>
    </row>
    <row r="29" spans="1:10" ht="14.25" customHeight="1" x14ac:dyDescent="0.3">
      <c r="A29" s="15">
        <v>43982</v>
      </c>
      <c r="B29" s="6" t="s">
        <v>10</v>
      </c>
      <c r="C29" s="6">
        <v>36999</v>
      </c>
      <c r="D29" s="27">
        <v>3473895</v>
      </c>
      <c r="E29" s="5">
        <f>IFERROR(VLOOKUP(J29,Sheet2!C29:F532,2),0)</f>
        <v>21</v>
      </c>
      <c r="F29" s="5">
        <f>IFERROR(VLOOKUP(J29,Sheet2!C29:F532,3),0)</f>
        <v>2271</v>
      </c>
      <c r="G29" s="5">
        <f>IFERROR(VLOOKUP(J29, Sheet2!C29:F532,4),0)</f>
        <v>2085</v>
      </c>
      <c r="H29" s="12">
        <f t="shared" si="0"/>
        <v>165423.57142857142</v>
      </c>
      <c r="I29">
        <f t="shared" si="1"/>
        <v>22</v>
      </c>
      <c r="J29" t="str">
        <f t="shared" si="2"/>
        <v>2020-05-31Кемерово</v>
      </c>
    </row>
    <row r="30" spans="1:10" ht="14.25" customHeight="1" x14ac:dyDescent="0.3">
      <c r="A30" s="14">
        <v>43981</v>
      </c>
      <c r="B30" s="4" t="s">
        <v>10</v>
      </c>
      <c r="C30" s="4">
        <v>44001</v>
      </c>
      <c r="D30" s="26">
        <v>3921784.5</v>
      </c>
      <c r="E30" s="5">
        <f>IFERROR(VLOOKUP(J30,Sheet2!C30:F533,2),0)</f>
        <v>20</v>
      </c>
      <c r="F30" s="5">
        <f>IFERROR(VLOOKUP(J30,Sheet2!C30:F533,3),0)</f>
        <v>2597</v>
      </c>
      <c r="G30" s="5">
        <f>IFERROR(VLOOKUP(J30, Sheet2!C30:F533,4),0)</f>
        <v>2376</v>
      </c>
      <c r="H30" s="12">
        <f t="shared" si="0"/>
        <v>196089.22500000001</v>
      </c>
      <c r="I30">
        <f t="shared" si="1"/>
        <v>22</v>
      </c>
      <c r="J30" t="str">
        <f t="shared" si="2"/>
        <v>2020-05-30Кемерово</v>
      </c>
    </row>
    <row r="31" spans="1:10" ht="14.25" customHeight="1" x14ac:dyDescent="0.3">
      <c r="A31" s="15">
        <v>43979</v>
      </c>
      <c r="B31" s="6" t="s">
        <v>10</v>
      </c>
      <c r="C31" s="6">
        <v>30982.5</v>
      </c>
      <c r="D31" s="27">
        <v>2827773</v>
      </c>
      <c r="E31" s="5">
        <f>IFERROR(VLOOKUP(J31,Sheet2!C31:F534,2),0)</f>
        <v>20</v>
      </c>
      <c r="F31" s="5">
        <f>IFERROR(VLOOKUP(J31,Sheet2!C31:F534,3),0)</f>
        <v>1886</v>
      </c>
      <c r="G31" s="5">
        <f>IFERROR(VLOOKUP(J31, Sheet2!C31:F534,4),0)</f>
        <v>1736</v>
      </c>
      <c r="H31" s="12">
        <f t="shared" si="0"/>
        <v>141388.65</v>
      </c>
      <c r="I31">
        <f t="shared" si="1"/>
        <v>22</v>
      </c>
      <c r="J31" t="str">
        <f t="shared" si="2"/>
        <v>2020-05-28Кемерово</v>
      </c>
    </row>
    <row r="32" spans="1:10" ht="14.25" customHeight="1" x14ac:dyDescent="0.3">
      <c r="A32" s="14">
        <v>43967</v>
      </c>
      <c r="B32" s="4" t="s">
        <v>11</v>
      </c>
      <c r="C32" s="4">
        <v>88063.5</v>
      </c>
      <c r="D32" s="26">
        <v>7583758.5</v>
      </c>
      <c r="E32" s="5">
        <f>IFERROR(VLOOKUP(J32,Sheet2!C32:F535,2),0)</f>
        <v>31</v>
      </c>
      <c r="F32" s="5">
        <f>IFERROR(VLOOKUP(J32,Sheet2!C32:F535,3),0)</f>
        <v>5593</v>
      </c>
      <c r="G32" s="5">
        <f>IFERROR(VLOOKUP(J32, Sheet2!C32:F535,4),0)</f>
        <v>5177</v>
      </c>
      <c r="H32" s="12">
        <f t="shared" si="0"/>
        <v>244637.37096774194</v>
      </c>
      <c r="I32">
        <f t="shared" si="1"/>
        <v>20</v>
      </c>
      <c r="J32" t="str">
        <f t="shared" si="2"/>
        <v>2020-05-16Екатеринбург</v>
      </c>
    </row>
    <row r="33" spans="1:10" ht="14.25" customHeight="1" x14ac:dyDescent="0.3">
      <c r="A33" s="15">
        <v>43970</v>
      </c>
      <c r="B33" s="6" t="s">
        <v>11</v>
      </c>
      <c r="C33" s="6">
        <v>84024</v>
      </c>
      <c r="D33" s="27">
        <v>6815511</v>
      </c>
      <c r="E33" s="5">
        <f>IFERROR(VLOOKUP(J33,Sheet2!C33:F536,2),0)</f>
        <v>31</v>
      </c>
      <c r="F33" s="5">
        <f>IFERROR(VLOOKUP(J33,Sheet2!C33:F536,3),0)</f>
        <v>5389</v>
      </c>
      <c r="G33" s="5">
        <f>IFERROR(VLOOKUP(J33, Sheet2!C33:F536,4),0)</f>
        <v>5024</v>
      </c>
      <c r="H33" s="12">
        <f t="shared" si="0"/>
        <v>219855.19354838709</v>
      </c>
      <c r="I33">
        <f t="shared" si="1"/>
        <v>21</v>
      </c>
      <c r="J33" t="str">
        <f t="shared" si="2"/>
        <v>2020-05-19Екатеринбург</v>
      </c>
    </row>
    <row r="34" spans="1:10" ht="14.25" customHeight="1" x14ac:dyDescent="0.3">
      <c r="A34" s="14">
        <v>43968</v>
      </c>
      <c r="B34" s="4" t="s">
        <v>11</v>
      </c>
      <c r="C34" s="4">
        <v>78057</v>
      </c>
      <c r="D34" s="26">
        <v>6774946.5</v>
      </c>
      <c r="E34" s="5">
        <f>IFERROR(VLOOKUP(J34,Sheet2!C34:F537,2),0)</f>
        <v>31</v>
      </c>
      <c r="F34" s="5">
        <f>IFERROR(VLOOKUP(J34,Sheet2!C34:F537,3),0)</f>
        <v>5206</v>
      </c>
      <c r="G34" s="5">
        <f>IFERROR(VLOOKUP(J34, Sheet2!C34:F537,4),0)</f>
        <v>4843</v>
      </c>
      <c r="H34" s="12">
        <f t="shared" si="0"/>
        <v>218546.66129032258</v>
      </c>
      <c r="I34">
        <f t="shared" si="1"/>
        <v>20</v>
      </c>
      <c r="J34" t="str">
        <f t="shared" si="2"/>
        <v>2020-05-17Екатеринбург</v>
      </c>
    </row>
    <row r="35" spans="1:10" ht="14.25" customHeight="1" x14ac:dyDescent="0.3">
      <c r="A35" s="15">
        <v>43960</v>
      </c>
      <c r="B35" s="6" t="s">
        <v>11</v>
      </c>
      <c r="C35" s="6">
        <v>69720</v>
      </c>
      <c r="D35" s="27">
        <v>6264933</v>
      </c>
      <c r="E35" s="5">
        <f>IFERROR(VLOOKUP(J35,Sheet2!C35:F538,2),0)</f>
        <v>31</v>
      </c>
      <c r="F35" s="5">
        <f>IFERROR(VLOOKUP(J35,Sheet2!C35:F538,3),0)</f>
        <v>4556</v>
      </c>
      <c r="G35" s="5">
        <f>IFERROR(VLOOKUP(J35, Sheet2!C35:F538,4),0)</f>
        <v>4220</v>
      </c>
      <c r="H35" s="12">
        <f t="shared" si="0"/>
        <v>202094.61290322582</v>
      </c>
      <c r="I35">
        <f t="shared" si="1"/>
        <v>19</v>
      </c>
      <c r="J35" t="str">
        <f t="shared" si="2"/>
        <v>2020-05-09Екатеринбург</v>
      </c>
    </row>
    <row r="36" spans="1:10" ht="14.25" customHeight="1" x14ac:dyDescent="0.3">
      <c r="A36" s="14">
        <v>43955</v>
      </c>
      <c r="B36" s="4" t="s">
        <v>11</v>
      </c>
      <c r="C36" s="4">
        <v>72928.5</v>
      </c>
      <c r="D36" s="26">
        <v>6642249</v>
      </c>
      <c r="E36" s="5">
        <f>IFERROR(VLOOKUP(J36,Sheet2!C36:F539,2),0)</f>
        <v>31</v>
      </c>
      <c r="F36" s="5">
        <f>IFERROR(VLOOKUP(J36,Sheet2!C36:F539,3),0)</f>
        <v>4968</v>
      </c>
      <c r="G36" s="5">
        <f>IFERROR(VLOOKUP(J36, Sheet2!C36:F539,4),0)</f>
        <v>4596</v>
      </c>
      <c r="H36" s="12">
        <f t="shared" si="0"/>
        <v>214266.09677419355</v>
      </c>
      <c r="I36">
        <f t="shared" si="1"/>
        <v>19</v>
      </c>
      <c r="J36" t="str">
        <f t="shared" si="2"/>
        <v>2020-05-04Екатеринбург</v>
      </c>
    </row>
    <row r="37" spans="1:10" ht="14.25" customHeight="1" x14ac:dyDescent="0.3">
      <c r="A37" s="15">
        <v>43950</v>
      </c>
      <c r="B37" s="6" t="s">
        <v>11</v>
      </c>
      <c r="C37" s="6">
        <v>79527</v>
      </c>
      <c r="D37" s="27">
        <v>7180498.5</v>
      </c>
      <c r="E37" s="5">
        <f>IFERROR(VLOOKUP(J37,Sheet2!C37:F540,2),0)</f>
        <v>0</v>
      </c>
      <c r="F37" s="5">
        <f>IFERROR(VLOOKUP(J37,Sheet2!C37:F540,3),0)</f>
        <v>0</v>
      </c>
      <c r="G37" s="5">
        <f>IFERROR(VLOOKUP(J37, Sheet2!C37:F540,4),0)</f>
        <v>0</v>
      </c>
      <c r="H37" s="12">
        <f t="shared" si="0"/>
        <v>0</v>
      </c>
      <c r="I37">
        <f t="shared" si="1"/>
        <v>18</v>
      </c>
      <c r="J37" t="str">
        <f t="shared" si="2"/>
        <v>2020-04-29Екатеринбург</v>
      </c>
    </row>
    <row r="38" spans="1:10" ht="14.25" customHeight="1" x14ac:dyDescent="0.3">
      <c r="A38" s="14">
        <v>43953</v>
      </c>
      <c r="B38" s="4" t="s">
        <v>11</v>
      </c>
      <c r="C38" s="4">
        <v>60463.5</v>
      </c>
      <c r="D38" s="26">
        <v>5554192.5</v>
      </c>
      <c r="E38" s="5">
        <f>IFERROR(VLOOKUP(J38,Sheet2!C38:F541,2),0)</f>
        <v>31</v>
      </c>
      <c r="F38" s="5">
        <f>IFERROR(VLOOKUP(J38,Sheet2!C38:F541,3),0)</f>
        <v>4157</v>
      </c>
      <c r="G38" s="5">
        <f>IFERROR(VLOOKUP(J38, Sheet2!C38:F541,4),0)</f>
        <v>3823</v>
      </c>
      <c r="H38" s="12">
        <f t="shared" si="0"/>
        <v>179167.5</v>
      </c>
      <c r="I38">
        <f t="shared" si="1"/>
        <v>18</v>
      </c>
      <c r="J38" t="str">
        <f t="shared" si="2"/>
        <v>2020-05-02Екатеринбург</v>
      </c>
    </row>
    <row r="39" spans="1:10" ht="14.25" customHeight="1" x14ac:dyDescent="0.3">
      <c r="A39" s="15">
        <v>43977</v>
      </c>
      <c r="B39" s="6" t="s">
        <v>11</v>
      </c>
      <c r="C39" s="6">
        <v>79975.5</v>
      </c>
      <c r="D39" s="27">
        <v>6676459.5</v>
      </c>
      <c r="E39" s="5">
        <f>IFERROR(VLOOKUP(J39,Sheet2!C39:F542,2),0)</f>
        <v>31</v>
      </c>
      <c r="F39" s="5">
        <f>IFERROR(VLOOKUP(J39,Sheet2!C39:F542,3),0)</f>
        <v>5493</v>
      </c>
      <c r="G39" s="5">
        <f>IFERROR(VLOOKUP(J39, Sheet2!C39:F542,4),0)</f>
        <v>5119</v>
      </c>
      <c r="H39" s="12">
        <f t="shared" si="0"/>
        <v>215369.66129032258</v>
      </c>
      <c r="I39">
        <f t="shared" si="1"/>
        <v>22</v>
      </c>
      <c r="J39" t="str">
        <f t="shared" si="2"/>
        <v>2020-05-26Екатеринбург</v>
      </c>
    </row>
    <row r="40" spans="1:10" ht="14.25" customHeight="1" x14ac:dyDescent="0.3">
      <c r="A40" s="14">
        <v>43952</v>
      </c>
      <c r="B40" s="4" t="s">
        <v>11</v>
      </c>
      <c r="C40" s="4">
        <v>97534.5</v>
      </c>
      <c r="D40" s="26">
        <v>8893024.5</v>
      </c>
      <c r="E40" s="5">
        <f>IFERROR(VLOOKUP(J40,Sheet2!C40:F543,2),0)</f>
        <v>31</v>
      </c>
      <c r="F40" s="5">
        <f>IFERROR(VLOOKUP(J40,Sheet2!C40:F543,3),0)</f>
        <v>6118</v>
      </c>
      <c r="G40" s="5">
        <f>IFERROR(VLOOKUP(J40, Sheet2!C40:F543,4),0)</f>
        <v>5564</v>
      </c>
      <c r="H40" s="12">
        <f t="shared" si="0"/>
        <v>286871.75806451612</v>
      </c>
      <c r="I40">
        <f t="shared" si="1"/>
        <v>18</v>
      </c>
      <c r="J40" t="str">
        <f t="shared" si="2"/>
        <v>2020-05-01Екатеринбург</v>
      </c>
    </row>
    <row r="41" spans="1:10" ht="14.25" customHeight="1" x14ac:dyDescent="0.3">
      <c r="A41" s="15">
        <v>43963</v>
      </c>
      <c r="B41" s="6" t="s">
        <v>11</v>
      </c>
      <c r="C41" s="6">
        <v>71520</v>
      </c>
      <c r="D41" s="27">
        <v>6398361</v>
      </c>
      <c r="E41" s="5">
        <f>IFERROR(VLOOKUP(J41,Sheet2!C41:F544,2),0)</f>
        <v>31</v>
      </c>
      <c r="F41" s="5">
        <f>IFERROR(VLOOKUP(J41,Sheet2!C41:F544,3),0)</f>
        <v>4800</v>
      </c>
      <c r="G41" s="5">
        <f>IFERROR(VLOOKUP(J41, Sheet2!C41:F544,4),0)</f>
        <v>4470</v>
      </c>
      <c r="H41" s="12">
        <f t="shared" si="0"/>
        <v>206398.74193548388</v>
      </c>
      <c r="I41">
        <f t="shared" si="1"/>
        <v>20</v>
      </c>
      <c r="J41" t="str">
        <f t="shared" si="2"/>
        <v>2020-05-12Екатеринбург</v>
      </c>
    </row>
    <row r="42" spans="1:10" ht="14.25" customHeight="1" x14ac:dyDescent="0.3">
      <c r="A42" s="14">
        <v>43972</v>
      </c>
      <c r="B42" s="4" t="s">
        <v>11</v>
      </c>
      <c r="C42" s="4">
        <v>79485</v>
      </c>
      <c r="D42" s="26">
        <v>6633847.5</v>
      </c>
      <c r="E42" s="5">
        <f>IFERROR(VLOOKUP(J42,Sheet2!C42:F545,2),0)</f>
        <v>31</v>
      </c>
      <c r="F42" s="5">
        <f>IFERROR(VLOOKUP(J42,Sheet2!C42:F545,3),0)</f>
        <v>5207</v>
      </c>
      <c r="G42" s="5">
        <f>IFERROR(VLOOKUP(J42, Sheet2!C42:F545,4),0)</f>
        <v>4868</v>
      </c>
      <c r="H42" s="12">
        <f t="shared" si="0"/>
        <v>213995.0806451613</v>
      </c>
      <c r="I42">
        <f t="shared" si="1"/>
        <v>21</v>
      </c>
      <c r="J42" t="str">
        <f t="shared" si="2"/>
        <v>2020-05-21Екатеринбург</v>
      </c>
    </row>
    <row r="43" spans="1:10" ht="14.25" customHeight="1" x14ac:dyDescent="0.3">
      <c r="A43" s="15">
        <v>43971</v>
      </c>
      <c r="B43" s="6" t="s">
        <v>11</v>
      </c>
      <c r="C43" s="6">
        <v>93313.5</v>
      </c>
      <c r="D43" s="27">
        <v>7247575.5</v>
      </c>
      <c r="E43" s="5">
        <f>IFERROR(VLOOKUP(J43,Sheet2!C43:F546,2),0)</f>
        <v>31</v>
      </c>
      <c r="F43" s="5">
        <f>IFERROR(VLOOKUP(J43,Sheet2!C43:F546,3),0)</f>
        <v>5698</v>
      </c>
      <c r="G43" s="5">
        <f>IFERROR(VLOOKUP(J43, Sheet2!C43:F546,4),0)</f>
        <v>5258</v>
      </c>
      <c r="H43" s="12">
        <f t="shared" si="0"/>
        <v>233792.75806451612</v>
      </c>
      <c r="I43">
        <f t="shared" si="1"/>
        <v>21</v>
      </c>
      <c r="J43" t="str">
        <f t="shared" si="2"/>
        <v>2020-05-20Екатеринбург</v>
      </c>
    </row>
    <row r="44" spans="1:10" ht="14.25" customHeight="1" x14ac:dyDescent="0.3">
      <c r="A44" s="14">
        <v>43956</v>
      </c>
      <c r="B44" s="4" t="s">
        <v>11</v>
      </c>
      <c r="C44" s="4">
        <v>76585.5</v>
      </c>
      <c r="D44" s="26">
        <v>6921316.5</v>
      </c>
      <c r="E44" s="5">
        <f>IFERROR(VLOOKUP(J44,Sheet2!C44:F547,2),0)</f>
        <v>31</v>
      </c>
      <c r="F44" s="5">
        <f>IFERROR(VLOOKUP(J44,Sheet2!C44:F547,3),0)</f>
        <v>5188</v>
      </c>
      <c r="G44" s="5">
        <f>IFERROR(VLOOKUP(J44, Sheet2!C44:F547,4),0)</f>
        <v>4800</v>
      </c>
      <c r="H44" s="12">
        <f t="shared" si="0"/>
        <v>223268.27419354839</v>
      </c>
      <c r="I44">
        <f t="shared" si="1"/>
        <v>19</v>
      </c>
      <c r="J44" t="str">
        <f t="shared" si="2"/>
        <v>2020-05-05Екатеринбург</v>
      </c>
    </row>
    <row r="45" spans="1:10" ht="14.25" customHeight="1" x14ac:dyDescent="0.3">
      <c r="A45" s="15">
        <v>43949</v>
      </c>
      <c r="B45" s="6" t="s">
        <v>11</v>
      </c>
      <c r="C45" s="6">
        <v>81826.5</v>
      </c>
      <c r="D45" s="27">
        <v>7163644.5</v>
      </c>
      <c r="E45" s="5">
        <f>IFERROR(VLOOKUP(J45,Sheet2!C45:F548,2),0)</f>
        <v>0</v>
      </c>
      <c r="F45" s="5">
        <f>IFERROR(VLOOKUP(J45,Sheet2!C45:F548,3),0)</f>
        <v>0</v>
      </c>
      <c r="G45" s="5">
        <f>IFERROR(VLOOKUP(J45, Sheet2!C45:F548,4),0)</f>
        <v>0</v>
      </c>
      <c r="H45" s="12">
        <f t="shared" si="0"/>
        <v>0</v>
      </c>
      <c r="I45">
        <f t="shared" si="1"/>
        <v>18</v>
      </c>
      <c r="J45" t="str">
        <f t="shared" si="2"/>
        <v>2020-04-28Екатеринбург</v>
      </c>
    </row>
    <row r="46" spans="1:10" ht="14.25" customHeight="1" x14ac:dyDescent="0.3">
      <c r="A46" s="14">
        <v>43964</v>
      </c>
      <c r="B46" s="4" t="s">
        <v>11</v>
      </c>
      <c r="C46" s="4">
        <v>78846</v>
      </c>
      <c r="D46" s="26">
        <v>6993952.5</v>
      </c>
      <c r="E46" s="5">
        <f>IFERROR(VLOOKUP(J46,Sheet2!C46:F549,2),0)</f>
        <v>31</v>
      </c>
      <c r="F46" s="5">
        <f>IFERROR(VLOOKUP(J46,Sheet2!C46:F549,3),0)</f>
        <v>5251</v>
      </c>
      <c r="G46" s="5">
        <f>IFERROR(VLOOKUP(J46, Sheet2!C46:F549,4),0)</f>
        <v>4853</v>
      </c>
      <c r="H46" s="12">
        <f t="shared" si="0"/>
        <v>225611.37096774194</v>
      </c>
      <c r="I46">
        <f t="shared" si="1"/>
        <v>20</v>
      </c>
      <c r="J46" t="str">
        <f t="shared" si="2"/>
        <v>2020-05-13Екатеринбург</v>
      </c>
    </row>
    <row r="47" spans="1:10" ht="14.25" customHeight="1" x14ac:dyDescent="0.3">
      <c r="A47" s="15">
        <v>43954</v>
      </c>
      <c r="B47" s="6" t="s">
        <v>11</v>
      </c>
      <c r="C47" s="6">
        <v>77263.5</v>
      </c>
      <c r="D47" s="27">
        <v>7013670</v>
      </c>
      <c r="E47" s="5">
        <f>IFERROR(VLOOKUP(J47,Sheet2!C47:F550,2),0)</f>
        <v>31</v>
      </c>
      <c r="F47" s="5">
        <f>IFERROR(VLOOKUP(J47,Sheet2!C47:F550,3),0)</f>
        <v>5155</v>
      </c>
      <c r="G47" s="5">
        <f>IFERROR(VLOOKUP(J47, Sheet2!C47:F550,4),0)</f>
        <v>4762</v>
      </c>
      <c r="H47" s="12">
        <f t="shared" si="0"/>
        <v>226247.4193548387</v>
      </c>
      <c r="I47">
        <f t="shared" si="1"/>
        <v>18</v>
      </c>
      <c r="J47" t="str">
        <f t="shared" si="2"/>
        <v>2020-05-03Екатеринбург</v>
      </c>
    </row>
    <row r="48" spans="1:10" ht="14.25" customHeight="1" x14ac:dyDescent="0.3">
      <c r="A48" s="14">
        <v>43957</v>
      </c>
      <c r="B48" s="4" t="s">
        <v>11</v>
      </c>
      <c r="C48" s="4">
        <v>68994</v>
      </c>
      <c r="D48" s="26">
        <v>6168657</v>
      </c>
      <c r="E48" s="5">
        <f>IFERROR(VLOOKUP(J48,Sheet2!C48:F551,2),0)</f>
        <v>31</v>
      </c>
      <c r="F48" s="5">
        <f>IFERROR(VLOOKUP(J48,Sheet2!C48:F551,3),0)</f>
        <v>4709</v>
      </c>
      <c r="G48" s="5">
        <f>IFERROR(VLOOKUP(J48, Sheet2!C48:F551,4),0)</f>
        <v>4348</v>
      </c>
      <c r="H48" s="12">
        <f t="shared" si="0"/>
        <v>198988.93548387097</v>
      </c>
      <c r="I48">
        <f t="shared" si="1"/>
        <v>19</v>
      </c>
      <c r="J48" t="str">
        <f t="shared" si="2"/>
        <v>2020-05-06Екатеринбург</v>
      </c>
    </row>
    <row r="49" spans="1:10" ht="14.25" customHeight="1" x14ac:dyDescent="0.3">
      <c r="A49" s="15">
        <v>43974</v>
      </c>
      <c r="B49" s="6" t="s">
        <v>11</v>
      </c>
      <c r="C49" s="6">
        <v>102889.5</v>
      </c>
      <c r="D49" s="27">
        <v>8089143</v>
      </c>
      <c r="E49" s="5">
        <f>IFERROR(VLOOKUP(J49,Sheet2!C49:F552,2),0)</f>
        <v>31</v>
      </c>
      <c r="F49" s="5">
        <f>IFERROR(VLOOKUP(J49,Sheet2!C49:F552,3),0)</f>
        <v>6276</v>
      </c>
      <c r="G49" s="5">
        <f>IFERROR(VLOOKUP(J49, Sheet2!C49:F552,4),0)</f>
        <v>5801</v>
      </c>
      <c r="H49" s="12">
        <f t="shared" si="0"/>
        <v>260940.09677419355</v>
      </c>
      <c r="I49">
        <f t="shared" si="1"/>
        <v>21</v>
      </c>
      <c r="J49" t="str">
        <f t="shared" si="2"/>
        <v>2020-05-23Екатеринбург</v>
      </c>
    </row>
    <row r="50" spans="1:10" ht="14.25" customHeight="1" x14ac:dyDescent="0.3">
      <c r="A50" s="14">
        <v>43976</v>
      </c>
      <c r="B50" s="4" t="s">
        <v>11</v>
      </c>
      <c r="C50" s="4">
        <v>76999.5</v>
      </c>
      <c r="D50" s="26">
        <v>6645603</v>
      </c>
      <c r="E50" s="5">
        <f>IFERROR(VLOOKUP(J50,Sheet2!C50:F553,2),0)</f>
        <v>31</v>
      </c>
      <c r="F50" s="5">
        <f>IFERROR(VLOOKUP(J50,Sheet2!C50:F553,3),0)</f>
        <v>5210</v>
      </c>
      <c r="G50" s="5">
        <f>IFERROR(VLOOKUP(J50, Sheet2!C50:F553,4),0)</f>
        <v>4841</v>
      </c>
      <c r="H50" s="12">
        <f t="shared" si="0"/>
        <v>214374.29032258064</v>
      </c>
      <c r="I50">
        <f t="shared" si="1"/>
        <v>22</v>
      </c>
      <c r="J50" t="str">
        <f t="shared" si="2"/>
        <v>2020-05-25Екатеринбург</v>
      </c>
    </row>
    <row r="51" spans="1:10" ht="14.25" customHeight="1" x14ac:dyDescent="0.3">
      <c r="A51" s="15">
        <v>43951</v>
      </c>
      <c r="B51" s="6" t="s">
        <v>11</v>
      </c>
      <c r="C51" s="6">
        <v>77565</v>
      </c>
      <c r="D51" s="27">
        <v>7023727.5</v>
      </c>
      <c r="E51" s="5">
        <f>IFERROR(VLOOKUP(J51,Sheet2!C51:F554,2),0)</f>
        <v>0</v>
      </c>
      <c r="F51" s="5">
        <f>IFERROR(VLOOKUP(J51,Sheet2!C51:F554,3),0)</f>
        <v>0</v>
      </c>
      <c r="G51" s="5">
        <f>IFERROR(VLOOKUP(J51, Sheet2!C51:F554,4),0)</f>
        <v>0</v>
      </c>
      <c r="H51" s="12">
        <f t="shared" si="0"/>
        <v>0</v>
      </c>
      <c r="I51">
        <f t="shared" si="1"/>
        <v>18</v>
      </c>
      <c r="J51" t="str">
        <f t="shared" si="2"/>
        <v>2020-04-30Екатеринбург</v>
      </c>
    </row>
    <row r="52" spans="1:10" ht="14.25" customHeight="1" x14ac:dyDescent="0.3">
      <c r="A52" s="14">
        <v>43961</v>
      </c>
      <c r="B52" s="4" t="s">
        <v>11</v>
      </c>
      <c r="C52" s="4">
        <v>84132</v>
      </c>
      <c r="D52" s="26">
        <v>7483194</v>
      </c>
      <c r="E52" s="5">
        <f>IFERROR(VLOOKUP(J52,Sheet2!C52:F555,2),0)</f>
        <v>31</v>
      </c>
      <c r="F52" s="5">
        <f>IFERROR(VLOOKUP(J52,Sheet2!C52:F555,3),0)</f>
        <v>5495</v>
      </c>
      <c r="G52" s="5">
        <f>IFERROR(VLOOKUP(J52, Sheet2!C52:F555,4),0)</f>
        <v>5093</v>
      </c>
      <c r="H52" s="12">
        <f t="shared" si="0"/>
        <v>241393.35483870967</v>
      </c>
      <c r="I52">
        <f t="shared" si="1"/>
        <v>19</v>
      </c>
      <c r="J52" t="str">
        <f t="shared" si="2"/>
        <v>2020-05-10Екатеринбург</v>
      </c>
    </row>
    <row r="53" spans="1:10" ht="14.25" customHeight="1" x14ac:dyDescent="0.3">
      <c r="A53" s="15">
        <v>43959</v>
      </c>
      <c r="B53" s="6" t="s">
        <v>11</v>
      </c>
      <c r="C53" s="6">
        <v>69544.5</v>
      </c>
      <c r="D53" s="27">
        <v>6293776.5</v>
      </c>
      <c r="E53" s="5">
        <f>IFERROR(VLOOKUP(J53,Sheet2!C53:F556,2),0)</f>
        <v>31</v>
      </c>
      <c r="F53" s="5">
        <f>IFERROR(VLOOKUP(J53,Sheet2!C53:F556,3),0)</f>
        <v>4635</v>
      </c>
      <c r="G53" s="5">
        <f>IFERROR(VLOOKUP(J53, Sheet2!C53:F556,4),0)</f>
        <v>4266</v>
      </c>
      <c r="H53" s="12">
        <f t="shared" si="0"/>
        <v>203025.04838709679</v>
      </c>
      <c r="I53">
        <f t="shared" si="1"/>
        <v>19</v>
      </c>
      <c r="J53" t="str">
        <f t="shared" si="2"/>
        <v>2020-05-08Екатеринбург</v>
      </c>
    </row>
    <row r="54" spans="1:10" ht="14.25" customHeight="1" x14ac:dyDescent="0.3">
      <c r="A54" s="14">
        <v>43958</v>
      </c>
      <c r="B54" s="4" t="s">
        <v>11</v>
      </c>
      <c r="C54" s="4">
        <v>73204.5</v>
      </c>
      <c r="D54" s="26">
        <v>6591883.5</v>
      </c>
      <c r="E54" s="5">
        <f>IFERROR(VLOOKUP(J54,Sheet2!C54:F557,2),0)</f>
        <v>31</v>
      </c>
      <c r="F54" s="5">
        <f>IFERROR(VLOOKUP(J54,Sheet2!C54:F557,3),0)</f>
        <v>4903</v>
      </c>
      <c r="G54" s="5">
        <f>IFERROR(VLOOKUP(J54, Sheet2!C54:F557,4),0)</f>
        <v>4527</v>
      </c>
      <c r="H54" s="12">
        <f t="shared" si="0"/>
        <v>212641.40322580645</v>
      </c>
      <c r="I54">
        <f t="shared" si="1"/>
        <v>19</v>
      </c>
      <c r="J54" t="str">
        <f t="shared" si="2"/>
        <v>2020-05-07Екатеринбург</v>
      </c>
    </row>
    <row r="55" spans="1:10" ht="14.25" customHeight="1" x14ac:dyDescent="0.3">
      <c r="A55" s="15">
        <v>43975</v>
      </c>
      <c r="B55" s="6" t="s">
        <v>11</v>
      </c>
      <c r="C55" s="6">
        <v>76663.5</v>
      </c>
      <c r="D55" s="27">
        <v>6451032</v>
      </c>
      <c r="E55" s="5">
        <f>IFERROR(VLOOKUP(J55,Sheet2!C55:F558,2),0)</f>
        <v>31</v>
      </c>
      <c r="F55" s="5">
        <f>IFERROR(VLOOKUP(J55,Sheet2!C55:F558,3),0)</f>
        <v>5035</v>
      </c>
      <c r="G55" s="5">
        <f>IFERROR(VLOOKUP(J55, Sheet2!C55:F558,4),0)</f>
        <v>4683</v>
      </c>
      <c r="H55" s="12">
        <f t="shared" si="0"/>
        <v>208097.80645161291</v>
      </c>
      <c r="I55">
        <f t="shared" si="1"/>
        <v>21</v>
      </c>
      <c r="J55" t="str">
        <f t="shared" si="2"/>
        <v>2020-05-24Екатеринбург</v>
      </c>
    </row>
    <row r="56" spans="1:10" ht="14.25" customHeight="1" x14ac:dyDescent="0.3">
      <c r="A56" s="14">
        <v>43967</v>
      </c>
      <c r="B56" s="4" t="s">
        <v>12</v>
      </c>
      <c r="C56" s="4">
        <v>14265</v>
      </c>
      <c r="D56" s="26">
        <v>1130506.5</v>
      </c>
      <c r="E56" s="5">
        <f>IFERROR(VLOOKUP(J56,Sheet2!C56:F559,2),0)</f>
        <v>10</v>
      </c>
      <c r="F56" s="5">
        <f>IFERROR(VLOOKUP(J56,Sheet2!C56:F559,3),0)</f>
        <v>760</v>
      </c>
      <c r="G56" s="5">
        <f>IFERROR(VLOOKUP(J56, Sheet2!C56:F559,4),0)</f>
        <v>672</v>
      </c>
      <c r="H56" s="12">
        <f t="shared" si="0"/>
        <v>113050.65</v>
      </c>
      <c r="I56">
        <f t="shared" si="1"/>
        <v>20</v>
      </c>
      <c r="J56" t="str">
        <f t="shared" si="2"/>
        <v>2020-05-16Тольятти</v>
      </c>
    </row>
    <row r="57" spans="1:10" ht="14.25" customHeight="1" x14ac:dyDescent="0.3">
      <c r="A57" s="15">
        <v>43970</v>
      </c>
      <c r="B57" s="6" t="s">
        <v>12</v>
      </c>
      <c r="C57" s="6">
        <v>11526</v>
      </c>
      <c r="D57" s="27">
        <v>938764.5</v>
      </c>
      <c r="E57" s="5">
        <f>IFERROR(VLOOKUP(J57,Sheet2!C57:F560,2),0)</f>
        <v>10</v>
      </c>
      <c r="F57" s="5">
        <f>IFERROR(VLOOKUP(J57,Sheet2!C57:F560,3),0)</f>
        <v>649</v>
      </c>
      <c r="G57" s="5">
        <f>IFERROR(VLOOKUP(J57, Sheet2!C57:F560,4),0)</f>
        <v>568</v>
      </c>
      <c r="H57" s="12">
        <f t="shared" si="0"/>
        <v>93876.45</v>
      </c>
      <c r="I57">
        <f t="shared" si="1"/>
        <v>21</v>
      </c>
      <c r="J57" t="str">
        <f t="shared" si="2"/>
        <v>2020-05-19Тольятти</v>
      </c>
    </row>
    <row r="58" spans="1:10" ht="14.25" customHeight="1" x14ac:dyDescent="0.3">
      <c r="A58" s="14">
        <v>43968</v>
      </c>
      <c r="B58" s="4" t="s">
        <v>12</v>
      </c>
      <c r="C58" s="4">
        <v>10402.5</v>
      </c>
      <c r="D58" s="26">
        <v>843727.5</v>
      </c>
      <c r="E58" s="5">
        <f>IFERROR(VLOOKUP(J58,Sheet2!C58:F561,2),0)</f>
        <v>10</v>
      </c>
      <c r="F58" s="5">
        <f>IFERROR(VLOOKUP(J58,Sheet2!C58:F561,3),0)</f>
        <v>591</v>
      </c>
      <c r="G58" s="5">
        <f>IFERROR(VLOOKUP(J58, Sheet2!C58:F561,4),0)</f>
        <v>513</v>
      </c>
      <c r="H58" s="12">
        <f t="shared" si="0"/>
        <v>84372.75</v>
      </c>
      <c r="I58">
        <f t="shared" si="1"/>
        <v>20</v>
      </c>
      <c r="J58" t="str">
        <f t="shared" si="2"/>
        <v>2020-05-17Тольятти</v>
      </c>
    </row>
    <row r="59" spans="1:10" ht="14.25" customHeight="1" x14ac:dyDescent="0.3">
      <c r="A59" s="15">
        <v>43960</v>
      </c>
      <c r="B59" s="6" t="s">
        <v>12</v>
      </c>
      <c r="C59" s="6">
        <v>13216.5</v>
      </c>
      <c r="D59" s="27">
        <v>1046400</v>
      </c>
      <c r="E59" s="5">
        <f>IFERROR(VLOOKUP(J59,Sheet2!C59:F562,2),0)</f>
        <v>10</v>
      </c>
      <c r="F59" s="5">
        <f>IFERROR(VLOOKUP(J59,Sheet2!C59:F562,3),0)</f>
        <v>644</v>
      </c>
      <c r="G59" s="5">
        <f>IFERROR(VLOOKUP(J59, Sheet2!C59:F562,4),0)</f>
        <v>559</v>
      </c>
      <c r="H59" s="12">
        <f t="shared" si="0"/>
        <v>104640</v>
      </c>
      <c r="I59">
        <f t="shared" si="1"/>
        <v>19</v>
      </c>
      <c r="J59" t="str">
        <f t="shared" si="2"/>
        <v>2020-05-09Тольятти</v>
      </c>
    </row>
    <row r="60" spans="1:10" ht="14.25" customHeight="1" x14ac:dyDescent="0.3">
      <c r="A60" s="14">
        <v>43955</v>
      </c>
      <c r="B60" s="4" t="s">
        <v>12</v>
      </c>
      <c r="C60" s="4">
        <v>9130.5</v>
      </c>
      <c r="D60" s="26">
        <v>728890.5</v>
      </c>
      <c r="E60" s="5">
        <f>IFERROR(VLOOKUP(J60,Sheet2!C60:F563,2),0)</f>
        <v>10</v>
      </c>
      <c r="F60" s="5">
        <f>IFERROR(VLOOKUP(J60,Sheet2!C60:F563,3),0)</f>
        <v>462</v>
      </c>
      <c r="G60" s="5">
        <f>IFERROR(VLOOKUP(J60, Sheet2!C60:F563,4),0)</f>
        <v>396</v>
      </c>
      <c r="H60" s="12">
        <f t="shared" si="0"/>
        <v>72889.05</v>
      </c>
      <c r="I60">
        <f t="shared" si="1"/>
        <v>19</v>
      </c>
      <c r="J60" t="str">
        <f t="shared" si="2"/>
        <v>2020-05-04Тольятти</v>
      </c>
    </row>
    <row r="61" spans="1:10" ht="14.25" customHeight="1" x14ac:dyDescent="0.3">
      <c r="A61" s="15">
        <v>43950</v>
      </c>
      <c r="B61" s="6" t="s">
        <v>12</v>
      </c>
      <c r="C61" s="6">
        <v>10840.5</v>
      </c>
      <c r="D61" s="27">
        <v>797919</v>
      </c>
      <c r="E61" s="5">
        <f>IFERROR(VLOOKUP(J61,Sheet2!C61:F564,2),0)</f>
        <v>0</v>
      </c>
      <c r="F61" s="5">
        <f>IFERROR(VLOOKUP(J61,Sheet2!C61:F564,3),0)</f>
        <v>0</v>
      </c>
      <c r="G61" s="5">
        <f>IFERROR(VLOOKUP(J61, Sheet2!C61:F564,4),0)</f>
        <v>0</v>
      </c>
      <c r="H61" s="12">
        <f t="shared" si="0"/>
        <v>0</v>
      </c>
      <c r="I61">
        <f t="shared" si="1"/>
        <v>18</v>
      </c>
      <c r="J61" t="str">
        <f t="shared" si="2"/>
        <v>2020-04-29Тольятти</v>
      </c>
    </row>
    <row r="62" spans="1:10" ht="14.25" customHeight="1" x14ac:dyDescent="0.3">
      <c r="A62" s="14">
        <v>43953</v>
      </c>
      <c r="B62" s="4" t="s">
        <v>12</v>
      </c>
      <c r="C62" s="4">
        <v>7866</v>
      </c>
      <c r="D62" s="26">
        <v>617881.5</v>
      </c>
      <c r="E62" s="5">
        <f>IFERROR(VLOOKUP(J62,Sheet2!C62:F565,2),0)</f>
        <v>10</v>
      </c>
      <c r="F62" s="5">
        <f>IFERROR(VLOOKUP(J62,Sheet2!C62:F565,3),0)</f>
        <v>416</v>
      </c>
      <c r="G62" s="5">
        <f>IFERROR(VLOOKUP(J62, Sheet2!C62:F565,4),0)</f>
        <v>341</v>
      </c>
      <c r="H62" s="12">
        <f t="shared" si="0"/>
        <v>61788.15</v>
      </c>
      <c r="I62">
        <f t="shared" si="1"/>
        <v>18</v>
      </c>
      <c r="J62" t="str">
        <f t="shared" si="2"/>
        <v>2020-05-02Тольятти</v>
      </c>
    </row>
    <row r="63" spans="1:10" ht="14.25" customHeight="1" x14ac:dyDescent="0.3">
      <c r="A63" s="15">
        <v>43977</v>
      </c>
      <c r="B63" s="6" t="s">
        <v>12</v>
      </c>
      <c r="C63" s="6">
        <v>11835</v>
      </c>
      <c r="D63" s="27">
        <v>983109</v>
      </c>
      <c r="E63" s="5">
        <f>IFERROR(VLOOKUP(J63,Sheet2!C63:F566,2),0)</f>
        <v>10</v>
      </c>
      <c r="F63" s="5">
        <f>IFERROR(VLOOKUP(J63,Sheet2!C63:F566,3),0)</f>
        <v>692</v>
      </c>
      <c r="G63" s="5">
        <f>IFERROR(VLOOKUP(J63, Sheet2!C63:F566,4),0)</f>
        <v>601</v>
      </c>
      <c r="H63" s="12">
        <f t="shared" si="0"/>
        <v>98310.9</v>
      </c>
      <c r="I63">
        <f t="shared" si="1"/>
        <v>22</v>
      </c>
      <c r="J63" t="str">
        <f t="shared" si="2"/>
        <v>2020-05-26Тольятти</v>
      </c>
    </row>
    <row r="64" spans="1:10" ht="14.25" customHeight="1" x14ac:dyDescent="0.3">
      <c r="A64" s="14">
        <v>43952</v>
      </c>
      <c r="B64" s="4" t="s">
        <v>12</v>
      </c>
      <c r="C64" s="4">
        <v>11619</v>
      </c>
      <c r="D64" s="26">
        <v>891139.5</v>
      </c>
      <c r="E64" s="5">
        <f>IFERROR(VLOOKUP(J64,Sheet2!C64:F567,2),0)</f>
        <v>0</v>
      </c>
      <c r="F64" s="5">
        <f>IFERROR(VLOOKUP(J64,Sheet2!C64:F567,3),0)</f>
        <v>0</v>
      </c>
      <c r="G64" s="5">
        <f>IFERROR(VLOOKUP(J64, Sheet2!C64:F567,4),0)</f>
        <v>0</v>
      </c>
      <c r="H64" s="12">
        <f t="shared" si="0"/>
        <v>0</v>
      </c>
      <c r="I64">
        <f t="shared" si="1"/>
        <v>18</v>
      </c>
      <c r="J64" t="str">
        <f t="shared" si="2"/>
        <v>2020-05-01Тольятти</v>
      </c>
    </row>
    <row r="65" spans="1:10" ht="14.25" customHeight="1" x14ac:dyDescent="0.3">
      <c r="A65" s="15">
        <v>43963</v>
      </c>
      <c r="B65" s="6" t="s">
        <v>12</v>
      </c>
      <c r="C65" s="6">
        <v>9328.5</v>
      </c>
      <c r="D65" s="27">
        <v>732964.5</v>
      </c>
      <c r="E65" s="5">
        <f>IFERROR(VLOOKUP(J65,Sheet2!C65:F568,2),0)</f>
        <v>10</v>
      </c>
      <c r="F65" s="5">
        <f>IFERROR(VLOOKUP(J65,Sheet2!C65:F568,3),0)</f>
        <v>526</v>
      </c>
      <c r="G65" s="5">
        <f>IFERROR(VLOOKUP(J65, Sheet2!C65:F568,4),0)</f>
        <v>448</v>
      </c>
      <c r="H65" s="12">
        <f t="shared" si="0"/>
        <v>73296.45</v>
      </c>
      <c r="I65">
        <f t="shared" si="1"/>
        <v>20</v>
      </c>
      <c r="J65" t="str">
        <f t="shared" si="2"/>
        <v>2020-05-12Тольятти</v>
      </c>
    </row>
    <row r="66" spans="1:10" ht="14.25" customHeight="1" x14ac:dyDescent="0.3">
      <c r="A66" s="14">
        <v>43972</v>
      </c>
      <c r="B66" s="4" t="s">
        <v>12</v>
      </c>
      <c r="C66" s="4">
        <v>11250</v>
      </c>
      <c r="D66" s="26">
        <v>935523</v>
      </c>
      <c r="E66" s="5">
        <f>IFERROR(VLOOKUP(J66,Sheet2!C66:F569,2),0)</f>
        <v>10</v>
      </c>
      <c r="F66" s="5">
        <f>IFERROR(VLOOKUP(J66,Sheet2!C66:F569,3),0)</f>
        <v>677</v>
      </c>
      <c r="G66" s="5">
        <f>IFERROR(VLOOKUP(J66, Sheet2!C66:F569,4),0)</f>
        <v>591</v>
      </c>
      <c r="H66" s="12">
        <f t="shared" si="0"/>
        <v>93552.3</v>
      </c>
      <c r="I66">
        <f t="shared" si="1"/>
        <v>21</v>
      </c>
      <c r="J66" t="str">
        <f t="shared" si="2"/>
        <v>2020-05-21Тольятти</v>
      </c>
    </row>
    <row r="67" spans="1:10" ht="14.25" customHeight="1" x14ac:dyDescent="0.3">
      <c r="A67" s="15">
        <v>43971</v>
      </c>
      <c r="B67" s="6" t="s">
        <v>12</v>
      </c>
      <c r="C67" s="6">
        <v>13063.5</v>
      </c>
      <c r="D67" s="27">
        <v>1037247</v>
      </c>
      <c r="E67" s="5">
        <f>IFERROR(VLOOKUP(J67,Sheet2!C67:F570,2),0)</f>
        <v>10</v>
      </c>
      <c r="F67" s="5">
        <f>IFERROR(VLOOKUP(J67,Sheet2!C67:F570,3),0)</f>
        <v>745</v>
      </c>
      <c r="G67" s="5">
        <f>IFERROR(VLOOKUP(J67, Sheet2!C67:F570,4),0)</f>
        <v>654</v>
      </c>
      <c r="H67" s="12">
        <f t="shared" ref="H67:H130" si="3">IF(VALUE(E67)&gt;0, D67/VALUE(E67), 0)</f>
        <v>103724.7</v>
      </c>
      <c r="I67">
        <f t="shared" ref="I67:I130" si="4">_xlfn.ISOWEEKNUM(A67)</f>
        <v>21</v>
      </c>
      <c r="J67" t="str">
        <f t="shared" ref="J67:J130" si="5">TEXT(A67,"yyyy-mm-dd") &amp; TRIM(B67)</f>
        <v>2020-05-20Тольятти</v>
      </c>
    </row>
    <row r="68" spans="1:10" ht="14.25" customHeight="1" x14ac:dyDescent="0.3">
      <c r="A68" s="14">
        <v>43956</v>
      </c>
      <c r="B68" s="4" t="s">
        <v>12</v>
      </c>
      <c r="C68" s="4">
        <v>10147.5</v>
      </c>
      <c r="D68" s="26">
        <v>793320</v>
      </c>
      <c r="E68" s="5">
        <f>IFERROR(VLOOKUP(J68,Sheet2!C68:F571,2),0)</f>
        <v>10</v>
      </c>
      <c r="F68" s="5">
        <f>IFERROR(VLOOKUP(J68,Sheet2!C68:F571,3),0)</f>
        <v>511</v>
      </c>
      <c r="G68" s="5">
        <f>IFERROR(VLOOKUP(J68, Sheet2!C68:F571,4),0)</f>
        <v>437</v>
      </c>
      <c r="H68" s="12">
        <f t="shared" si="3"/>
        <v>79332</v>
      </c>
      <c r="I68">
        <f t="shared" si="4"/>
        <v>19</v>
      </c>
      <c r="J68" t="str">
        <f t="shared" si="5"/>
        <v>2020-05-05Тольятти</v>
      </c>
    </row>
    <row r="69" spans="1:10" ht="14.25" customHeight="1" x14ac:dyDescent="0.3">
      <c r="A69" s="15">
        <v>43949</v>
      </c>
      <c r="B69" s="6" t="s">
        <v>12</v>
      </c>
      <c r="C69" s="6">
        <v>12331.5</v>
      </c>
      <c r="D69" s="27">
        <v>869983.5</v>
      </c>
      <c r="E69" s="5">
        <f>IFERROR(VLOOKUP(J69,Sheet2!C69:F572,2),0)</f>
        <v>0</v>
      </c>
      <c r="F69" s="5">
        <f>IFERROR(VLOOKUP(J69,Sheet2!C69:F572,3),0)</f>
        <v>0</v>
      </c>
      <c r="G69" s="5">
        <f>IFERROR(VLOOKUP(J69, Sheet2!C69:F572,4),0)</f>
        <v>0</v>
      </c>
      <c r="H69" s="12">
        <f t="shared" si="3"/>
        <v>0</v>
      </c>
      <c r="I69">
        <f t="shared" si="4"/>
        <v>18</v>
      </c>
      <c r="J69" t="str">
        <f t="shared" si="5"/>
        <v>2020-04-28Тольятти</v>
      </c>
    </row>
    <row r="70" spans="1:10" ht="14.25" customHeight="1" x14ac:dyDescent="0.3">
      <c r="A70" s="14">
        <v>43964</v>
      </c>
      <c r="B70" s="4" t="s">
        <v>12</v>
      </c>
      <c r="C70" s="4">
        <v>11202</v>
      </c>
      <c r="D70" s="26">
        <v>865714.5</v>
      </c>
      <c r="E70" s="5">
        <f>IFERROR(VLOOKUP(J70,Sheet2!C70:F573,2),0)</f>
        <v>10</v>
      </c>
      <c r="F70" s="5">
        <f>IFERROR(VLOOKUP(J70,Sheet2!C70:F573,3),0)</f>
        <v>612</v>
      </c>
      <c r="G70" s="5">
        <f>IFERROR(VLOOKUP(J70, Sheet2!C70:F573,4),0)</f>
        <v>530</v>
      </c>
      <c r="H70" s="12">
        <f t="shared" si="3"/>
        <v>86571.45</v>
      </c>
      <c r="I70">
        <f t="shared" si="4"/>
        <v>20</v>
      </c>
      <c r="J70" t="str">
        <f t="shared" si="5"/>
        <v>2020-05-13Тольятти</v>
      </c>
    </row>
    <row r="71" spans="1:10" ht="14.25" customHeight="1" x14ac:dyDescent="0.3">
      <c r="A71" s="15">
        <v>43982</v>
      </c>
      <c r="B71" s="6" t="s">
        <v>11</v>
      </c>
      <c r="C71" s="6">
        <v>89149.5</v>
      </c>
      <c r="D71" s="27">
        <v>7512646.5</v>
      </c>
      <c r="E71" s="5">
        <f>IFERROR(VLOOKUP(J71,Sheet2!C71:F574,2),0)</f>
        <v>31</v>
      </c>
      <c r="F71" s="5">
        <f>IFERROR(VLOOKUP(J71,Sheet2!C71:F574,3),0)</f>
        <v>5760</v>
      </c>
      <c r="G71" s="5">
        <f>IFERROR(VLOOKUP(J71, Sheet2!C71:F574,4),0)</f>
        <v>5367</v>
      </c>
      <c r="H71" s="12">
        <f t="shared" si="3"/>
        <v>242343.43548387097</v>
      </c>
      <c r="I71">
        <f t="shared" si="4"/>
        <v>22</v>
      </c>
      <c r="J71" t="str">
        <f t="shared" si="5"/>
        <v>2020-05-31Екатеринбург</v>
      </c>
    </row>
    <row r="72" spans="1:10" ht="14.25" customHeight="1" x14ac:dyDescent="0.3">
      <c r="A72" s="14">
        <v>43954</v>
      </c>
      <c r="B72" s="4" t="s">
        <v>12</v>
      </c>
      <c r="C72" s="4">
        <v>8185.5</v>
      </c>
      <c r="D72" s="26">
        <v>637881</v>
      </c>
      <c r="E72" s="5">
        <f>IFERROR(VLOOKUP(J72,Sheet2!C72:F575,2),0)</f>
        <v>10</v>
      </c>
      <c r="F72" s="5">
        <f>IFERROR(VLOOKUP(J72,Sheet2!C72:F575,3),0)</f>
        <v>402</v>
      </c>
      <c r="G72" s="5">
        <f>IFERROR(VLOOKUP(J72, Sheet2!C72:F575,4),0)</f>
        <v>333</v>
      </c>
      <c r="H72" s="12">
        <f t="shared" si="3"/>
        <v>63788.1</v>
      </c>
      <c r="I72">
        <f t="shared" si="4"/>
        <v>18</v>
      </c>
      <c r="J72" t="str">
        <f t="shared" si="5"/>
        <v>2020-05-03Тольятти</v>
      </c>
    </row>
    <row r="73" spans="1:10" ht="14.25" customHeight="1" x14ac:dyDescent="0.3">
      <c r="A73" s="15">
        <v>43981</v>
      </c>
      <c r="B73" s="6" t="s">
        <v>11</v>
      </c>
      <c r="C73" s="6">
        <v>108123</v>
      </c>
      <c r="D73" s="27">
        <v>9164707.5</v>
      </c>
      <c r="E73" s="5">
        <f>IFERROR(VLOOKUP(J73,Sheet2!C73:F576,2),0)</f>
        <v>31</v>
      </c>
      <c r="F73" s="5">
        <f>IFERROR(VLOOKUP(J73,Sheet2!C73:F576,3),0)</f>
        <v>6735</v>
      </c>
      <c r="G73" s="5">
        <f>IFERROR(VLOOKUP(J73, Sheet2!C73:F576,4),0)</f>
        <v>6264</v>
      </c>
      <c r="H73" s="12">
        <f t="shared" si="3"/>
        <v>295635.72580645164</v>
      </c>
      <c r="I73">
        <f t="shared" si="4"/>
        <v>22</v>
      </c>
      <c r="J73" t="str">
        <f t="shared" si="5"/>
        <v>2020-05-30Екатеринбург</v>
      </c>
    </row>
    <row r="74" spans="1:10" ht="14.25" customHeight="1" x14ac:dyDescent="0.3">
      <c r="A74" s="14">
        <v>43957</v>
      </c>
      <c r="B74" s="4" t="s">
        <v>12</v>
      </c>
      <c r="C74" s="4">
        <v>9210</v>
      </c>
      <c r="D74" s="26">
        <v>696832.5</v>
      </c>
      <c r="E74" s="5">
        <f>IFERROR(VLOOKUP(J74,Sheet2!C74:F577,2),0)</f>
        <v>10</v>
      </c>
      <c r="F74" s="5">
        <f>IFERROR(VLOOKUP(J74,Sheet2!C74:F577,3),0)</f>
        <v>465</v>
      </c>
      <c r="G74" s="5">
        <f>IFERROR(VLOOKUP(J74, Sheet2!C74:F577,4),0)</f>
        <v>390</v>
      </c>
      <c r="H74" s="12">
        <f t="shared" si="3"/>
        <v>69683.25</v>
      </c>
      <c r="I74">
        <f t="shared" si="4"/>
        <v>19</v>
      </c>
      <c r="J74" t="str">
        <f t="shared" si="5"/>
        <v>2020-05-06Тольятти</v>
      </c>
    </row>
    <row r="75" spans="1:10" ht="14.25" customHeight="1" x14ac:dyDescent="0.3">
      <c r="A75" s="15">
        <v>43974</v>
      </c>
      <c r="B75" s="6" t="s">
        <v>12</v>
      </c>
      <c r="C75" s="6">
        <v>14773.5</v>
      </c>
      <c r="D75" s="27">
        <v>1241383.5</v>
      </c>
      <c r="E75" s="5">
        <f>IFERROR(VLOOKUP(J75,Sheet2!C75:F578,2),0)</f>
        <v>10</v>
      </c>
      <c r="F75" s="5">
        <f>IFERROR(VLOOKUP(J75,Sheet2!C75:F578,3),0)</f>
        <v>828</v>
      </c>
      <c r="G75" s="5">
        <f>IFERROR(VLOOKUP(J75, Sheet2!C75:F578,4),0)</f>
        <v>734</v>
      </c>
      <c r="H75" s="12">
        <f t="shared" si="3"/>
        <v>124138.35</v>
      </c>
      <c r="I75">
        <f t="shared" si="4"/>
        <v>21</v>
      </c>
      <c r="J75" t="str">
        <f t="shared" si="5"/>
        <v>2020-05-23Тольятти</v>
      </c>
    </row>
    <row r="76" spans="1:10" ht="14.25" customHeight="1" x14ac:dyDescent="0.3">
      <c r="A76" s="14">
        <v>43979</v>
      </c>
      <c r="B76" s="4" t="s">
        <v>11</v>
      </c>
      <c r="C76" s="4">
        <v>78141</v>
      </c>
      <c r="D76" s="26">
        <v>6641569.5</v>
      </c>
      <c r="E76" s="5">
        <f>IFERROR(VLOOKUP(J76,Sheet2!C76:F579,2),0)</f>
        <v>31</v>
      </c>
      <c r="F76" s="5">
        <f>IFERROR(VLOOKUP(J76,Sheet2!C76:F579,3),0)</f>
        <v>5355</v>
      </c>
      <c r="G76" s="5">
        <f>IFERROR(VLOOKUP(J76, Sheet2!C76:F579,4),0)</f>
        <v>4969</v>
      </c>
      <c r="H76" s="12">
        <f t="shared" si="3"/>
        <v>214244.17741935485</v>
      </c>
      <c r="I76">
        <f t="shared" si="4"/>
        <v>22</v>
      </c>
      <c r="J76" t="str">
        <f t="shared" si="5"/>
        <v>2020-05-28Екатеринбург</v>
      </c>
    </row>
    <row r="77" spans="1:10" ht="14.25" customHeight="1" x14ac:dyDescent="0.3">
      <c r="A77" s="15">
        <v>43976</v>
      </c>
      <c r="B77" s="6" t="s">
        <v>12</v>
      </c>
      <c r="C77" s="6">
        <v>12280.5</v>
      </c>
      <c r="D77" s="27">
        <v>1030440</v>
      </c>
      <c r="E77" s="5">
        <f>IFERROR(VLOOKUP(J77,Sheet2!C77:F580,2),0)</f>
        <v>10</v>
      </c>
      <c r="F77" s="5">
        <f>IFERROR(VLOOKUP(J77,Sheet2!C77:F580,3),0)</f>
        <v>739</v>
      </c>
      <c r="G77" s="5">
        <f>IFERROR(VLOOKUP(J77, Sheet2!C77:F580,4),0)</f>
        <v>642</v>
      </c>
      <c r="H77" s="12">
        <f t="shared" si="3"/>
        <v>103044</v>
      </c>
      <c r="I77">
        <f t="shared" si="4"/>
        <v>22</v>
      </c>
      <c r="J77" t="str">
        <f t="shared" si="5"/>
        <v>2020-05-25Тольятти</v>
      </c>
    </row>
    <row r="78" spans="1:10" ht="14.25" customHeight="1" x14ac:dyDescent="0.3">
      <c r="A78" s="14">
        <v>43951</v>
      </c>
      <c r="B78" s="4" t="s">
        <v>12</v>
      </c>
      <c r="C78" s="4">
        <v>8934</v>
      </c>
      <c r="D78" s="26">
        <v>716196</v>
      </c>
      <c r="E78" s="5">
        <f>IFERROR(VLOOKUP(J78,Sheet2!C78:F581,2),0)</f>
        <v>0</v>
      </c>
      <c r="F78" s="5">
        <f>IFERROR(VLOOKUP(J78,Sheet2!C78:F581,3),0)</f>
        <v>0</v>
      </c>
      <c r="G78" s="5">
        <f>IFERROR(VLOOKUP(J78, Sheet2!C78:F581,4),0)</f>
        <v>0</v>
      </c>
      <c r="H78" s="12">
        <f t="shared" si="3"/>
        <v>0</v>
      </c>
      <c r="I78">
        <f t="shared" si="4"/>
        <v>18</v>
      </c>
      <c r="J78" t="str">
        <f t="shared" si="5"/>
        <v>2020-04-30Тольятти</v>
      </c>
    </row>
    <row r="79" spans="1:10" ht="14.25" customHeight="1" x14ac:dyDescent="0.3">
      <c r="A79" s="15">
        <v>43961</v>
      </c>
      <c r="B79" s="6" t="s">
        <v>12</v>
      </c>
      <c r="C79" s="6">
        <v>12918</v>
      </c>
      <c r="D79" s="27">
        <v>1004788.5</v>
      </c>
      <c r="E79" s="5">
        <f>IFERROR(VLOOKUP(J79,Sheet2!C79:F582,2),0)</f>
        <v>10</v>
      </c>
      <c r="F79" s="5">
        <f>IFERROR(VLOOKUP(J79,Sheet2!C79:F582,3),0)</f>
        <v>642</v>
      </c>
      <c r="G79" s="5">
        <f>IFERROR(VLOOKUP(J79, Sheet2!C79:F582,4),0)</f>
        <v>556</v>
      </c>
      <c r="H79" s="12">
        <f t="shared" si="3"/>
        <v>100478.85</v>
      </c>
      <c r="I79">
        <f t="shared" si="4"/>
        <v>19</v>
      </c>
      <c r="J79" t="str">
        <f t="shared" si="5"/>
        <v>2020-05-10Тольятти</v>
      </c>
    </row>
    <row r="80" spans="1:10" ht="14.25" customHeight="1" x14ac:dyDescent="0.3">
      <c r="A80" s="14">
        <v>43959</v>
      </c>
      <c r="B80" s="4" t="s">
        <v>12</v>
      </c>
      <c r="C80" s="4">
        <v>12528</v>
      </c>
      <c r="D80" s="26">
        <v>959703</v>
      </c>
      <c r="E80" s="5">
        <f>IFERROR(VLOOKUP(J80,Sheet2!C80:F583,2),0)</f>
        <v>10</v>
      </c>
      <c r="F80" s="5">
        <f>IFERROR(VLOOKUP(J80,Sheet2!C80:F583,3),0)</f>
        <v>638</v>
      </c>
      <c r="G80" s="5">
        <f>IFERROR(VLOOKUP(J80, Sheet2!C80:F583,4),0)</f>
        <v>547</v>
      </c>
      <c r="H80" s="12">
        <f t="shared" si="3"/>
        <v>95970.3</v>
      </c>
      <c r="I80">
        <f t="shared" si="4"/>
        <v>19</v>
      </c>
      <c r="J80" t="str">
        <f t="shared" si="5"/>
        <v>2020-05-08Тольятти</v>
      </c>
    </row>
    <row r="81" spans="1:10" ht="14.25" customHeight="1" x14ac:dyDescent="0.3">
      <c r="A81" s="15">
        <v>43958</v>
      </c>
      <c r="B81" s="6" t="s">
        <v>12</v>
      </c>
      <c r="C81" s="6">
        <v>11029.5</v>
      </c>
      <c r="D81" s="27">
        <v>863754</v>
      </c>
      <c r="E81" s="5">
        <f>IFERROR(VLOOKUP(J81,Sheet2!C81:F584,2),0)</f>
        <v>10</v>
      </c>
      <c r="F81" s="5">
        <f>IFERROR(VLOOKUP(J81,Sheet2!C81:F584,3),0)</f>
        <v>563</v>
      </c>
      <c r="G81" s="5">
        <f>IFERROR(VLOOKUP(J81, Sheet2!C81:F584,4),0)</f>
        <v>486</v>
      </c>
      <c r="H81" s="12">
        <f t="shared" si="3"/>
        <v>86375.4</v>
      </c>
      <c r="I81">
        <f t="shared" si="4"/>
        <v>19</v>
      </c>
      <c r="J81" t="str">
        <f t="shared" si="5"/>
        <v>2020-05-07Тольятти</v>
      </c>
    </row>
    <row r="82" spans="1:10" ht="14.25" customHeight="1" x14ac:dyDescent="0.3">
      <c r="A82" s="14">
        <v>43975</v>
      </c>
      <c r="B82" s="4" t="s">
        <v>12</v>
      </c>
      <c r="C82" s="4">
        <v>9994.5</v>
      </c>
      <c r="D82" s="26">
        <v>828984</v>
      </c>
      <c r="E82" s="5">
        <f>IFERROR(VLOOKUP(J82,Sheet2!C82:F585,2),0)</f>
        <v>10</v>
      </c>
      <c r="F82" s="5">
        <f>IFERROR(VLOOKUP(J82,Sheet2!C82:F585,3),0)</f>
        <v>639</v>
      </c>
      <c r="G82" s="5">
        <f>IFERROR(VLOOKUP(J82, Sheet2!C82:F585,4),0)</f>
        <v>557</v>
      </c>
      <c r="H82" s="12">
        <f t="shared" si="3"/>
        <v>82898.399999999994</v>
      </c>
      <c r="I82">
        <f t="shared" si="4"/>
        <v>21</v>
      </c>
      <c r="J82" t="str">
        <f t="shared" si="5"/>
        <v>2020-05-24Тольятти</v>
      </c>
    </row>
    <row r="83" spans="1:10" ht="14.25" customHeight="1" x14ac:dyDescent="0.3">
      <c r="A83" s="15">
        <v>43982</v>
      </c>
      <c r="B83" s="6" t="s">
        <v>12</v>
      </c>
      <c r="C83" s="6">
        <v>12724.5</v>
      </c>
      <c r="D83" s="27">
        <v>1045515</v>
      </c>
      <c r="E83" s="5">
        <f>IFERROR(VLOOKUP(J83,Sheet2!C83:F586,2),0)</f>
        <v>10</v>
      </c>
      <c r="F83" s="5">
        <f>IFERROR(VLOOKUP(J83,Sheet2!C83:F586,3),0)</f>
        <v>749</v>
      </c>
      <c r="G83" s="5">
        <f>IFERROR(VLOOKUP(J83, Sheet2!C83:F586,4),0)</f>
        <v>655</v>
      </c>
      <c r="H83" s="12">
        <f t="shared" si="3"/>
        <v>104551.5</v>
      </c>
      <c r="I83">
        <f t="shared" si="4"/>
        <v>22</v>
      </c>
      <c r="J83" t="str">
        <f t="shared" si="5"/>
        <v>2020-05-31Тольятти</v>
      </c>
    </row>
    <row r="84" spans="1:10" ht="14.25" customHeight="1" x14ac:dyDescent="0.3">
      <c r="A84" s="14">
        <v>43981</v>
      </c>
      <c r="B84" s="4" t="s">
        <v>12</v>
      </c>
      <c r="C84" s="4">
        <v>14728.5</v>
      </c>
      <c r="D84" s="26">
        <v>1260483</v>
      </c>
      <c r="E84" s="5">
        <f>IFERROR(VLOOKUP(J84,Sheet2!C84:F587,2),0)</f>
        <v>10</v>
      </c>
      <c r="F84" s="5">
        <f>IFERROR(VLOOKUP(J84,Sheet2!C84:F587,3),0)</f>
        <v>865</v>
      </c>
      <c r="G84" s="5">
        <f>IFERROR(VLOOKUP(J84, Sheet2!C84:F587,4),0)</f>
        <v>763</v>
      </c>
      <c r="H84" s="12">
        <f t="shared" si="3"/>
        <v>126048.3</v>
      </c>
      <c r="I84">
        <f t="shared" si="4"/>
        <v>22</v>
      </c>
      <c r="J84" t="str">
        <f t="shared" si="5"/>
        <v>2020-05-30Тольятти</v>
      </c>
    </row>
    <row r="85" spans="1:10" ht="14.25" customHeight="1" x14ac:dyDescent="0.3">
      <c r="A85" s="15">
        <v>43979</v>
      </c>
      <c r="B85" s="6" t="s">
        <v>12</v>
      </c>
      <c r="C85" s="6">
        <v>13038</v>
      </c>
      <c r="D85" s="27">
        <v>1114552.5</v>
      </c>
      <c r="E85" s="5">
        <f>IFERROR(VLOOKUP(J85,Sheet2!C85:F588,2),0)</f>
        <v>10</v>
      </c>
      <c r="F85" s="5">
        <f>IFERROR(VLOOKUP(J85,Sheet2!C85:F588,3),0)</f>
        <v>791</v>
      </c>
      <c r="G85" s="5">
        <f>IFERROR(VLOOKUP(J85, Sheet2!C85:F588,4),0)</f>
        <v>697</v>
      </c>
      <c r="H85" s="12">
        <f t="shared" si="3"/>
        <v>111455.25</v>
      </c>
      <c r="I85">
        <f t="shared" si="4"/>
        <v>22</v>
      </c>
      <c r="J85" t="str">
        <f t="shared" si="5"/>
        <v>2020-05-28Тольятти</v>
      </c>
    </row>
    <row r="86" spans="1:10" ht="14.25" customHeight="1" x14ac:dyDescent="0.3">
      <c r="A86" s="14">
        <v>43967</v>
      </c>
      <c r="B86" s="4" t="s">
        <v>13</v>
      </c>
      <c r="C86" s="4">
        <v>35482.5</v>
      </c>
      <c r="D86" s="26">
        <v>3222517.5</v>
      </c>
      <c r="E86" s="5">
        <f>IFERROR(VLOOKUP(J86,Sheet2!C86:F589,2),0)</f>
        <v>19</v>
      </c>
      <c r="F86" s="5">
        <f>IFERROR(VLOOKUP(J86,Sheet2!C86:F589,3),0)</f>
        <v>2080</v>
      </c>
      <c r="G86" s="5">
        <f>IFERROR(VLOOKUP(J86, Sheet2!C86:F589,4),0)</f>
        <v>1844</v>
      </c>
      <c r="H86" s="12">
        <f t="shared" si="3"/>
        <v>169606.18421052632</v>
      </c>
      <c r="I86">
        <f t="shared" si="4"/>
        <v>20</v>
      </c>
      <c r="J86" t="str">
        <f t="shared" si="5"/>
        <v>2020-05-16Нижний Новгород</v>
      </c>
    </row>
    <row r="87" spans="1:10" ht="14.25" customHeight="1" x14ac:dyDescent="0.3">
      <c r="A87" s="15">
        <v>43970</v>
      </c>
      <c r="B87" s="6" t="s">
        <v>13</v>
      </c>
      <c r="C87" s="6">
        <v>32434.5</v>
      </c>
      <c r="D87" s="27">
        <v>2865337.5</v>
      </c>
      <c r="E87" s="5">
        <f>IFERROR(VLOOKUP(J87,Sheet2!C87:F590,2),0)</f>
        <v>19</v>
      </c>
      <c r="F87" s="5">
        <f>IFERROR(VLOOKUP(J87,Sheet2!C87:F590,3),0)</f>
        <v>1999</v>
      </c>
      <c r="G87" s="5">
        <f>IFERROR(VLOOKUP(J87, Sheet2!C87:F590,4),0)</f>
        <v>1799</v>
      </c>
      <c r="H87" s="12">
        <f t="shared" si="3"/>
        <v>150807.23684210525</v>
      </c>
      <c r="I87">
        <f t="shared" si="4"/>
        <v>21</v>
      </c>
      <c r="J87" t="str">
        <f t="shared" si="5"/>
        <v>2020-05-19Нижний Новгород</v>
      </c>
    </row>
    <row r="88" spans="1:10" ht="14.25" customHeight="1" x14ac:dyDescent="0.3">
      <c r="A88" s="14">
        <v>43968</v>
      </c>
      <c r="B88" s="4" t="s">
        <v>13</v>
      </c>
      <c r="C88" s="4">
        <v>30486</v>
      </c>
      <c r="D88" s="26">
        <v>2694289.5</v>
      </c>
      <c r="E88" s="5">
        <f>IFERROR(VLOOKUP(J88,Sheet2!C88:F591,2),0)</f>
        <v>19</v>
      </c>
      <c r="F88" s="5">
        <f>IFERROR(VLOOKUP(J88,Sheet2!C88:F591,3),0)</f>
        <v>1871</v>
      </c>
      <c r="G88" s="5">
        <f>IFERROR(VLOOKUP(J88, Sheet2!C88:F591,4),0)</f>
        <v>1660</v>
      </c>
      <c r="H88" s="12">
        <f t="shared" si="3"/>
        <v>141804.71052631579</v>
      </c>
      <c r="I88">
        <f t="shared" si="4"/>
        <v>20</v>
      </c>
      <c r="J88" t="str">
        <f t="shared" si="5"/>
        <v>2020-05-17Нижний Новгород</v>
      </c>
    </row>
    <row r="89" spans="1:10" ht="14.25" customHeight="1" x14ac:dyDescent="0.3">
      <c r="A89" s="15">
        <v>43960</v>
      </c>
      <c r="B89" s="6" t="s">
        <v>13</v>
      </c>
      <c r="C89" s="6">
        <v>32079</v>
      </c>
      <c r="D89" s="27">
        <v>2902167</v>
      </c>
      <c r="E89" s="5">
        <f>IFERROR(VLOOKUP(J89,Sheet2!C89:F592,2),0)</f>
        <v>19</v>
      </c>
      <c r="F89" s="5">
        <f>IFERROR(VLOOKUP(J89,Sheet2!C89:F592,3),0)</f>
        <v>1851</v>
      </c>
      <c r="G89" s="5">
        <f>IFERROR(VLOOKUP(J89, Sheet2!C89:F592,4),0)</f>
        <v>1635</v>
      </c>
      <c r="H89" s="12">
        <f t="shared" si="3"/>
        <v>152745.63157894736</v>
      </c>
      <c r="I89">
        <f t="shared" si="4"/>
        <v>19</v>
      </c>
      <c r="J89" t="str">
        <f t="shared" si="5"/>
        <v>2020-05-09Нижний Новгород</v>
      </c>
    </row>
    <row r="90" spans="1:10" ht="14.25" customHeight="1" x14ac:dyDescent="0.3">
      <c r="A90" s="14">
        <v>43955</v>
      </c>
      <c r="B90" s="4" t="s">
        <v>13</v>
      </c>
      <c r="C90" s="4">
        <v>27072</v>
      </c>
      <c r="D90" s="26">
        <v>2450968.5</v>
      </c>
      <c r="E90" s="5">
        <f>IFERROR(VLOOKUP(J90,Sheet2!C90:F593,2),0)</f>
        <v>19</v>
      </c>
      <c r="F90" s="5">
        <f>IFERROR(VLOOKUP(J90,Sheet2!C90:F593,3),0)</f>
        <v>1582</v>
      </c>
      <c r="G90" s="5">
        <f>IFERROR(VLOOKUP(J90, Sheet2!C90:F593,4),0)</f>
        <v>1403</v>
      </c>
      <c r="H90" s="12">
        <f t="shared" si="3"/>
        <v>128998.34210526316</v>
      </c>
      <c r="I90">
        <f t="shared" si="4"/>
        <v>19</v>
      </c>
      <c r="J90" t="str">
        <f t="shared" si="5"/>
        <v>2020-05-04Нижний Новгород</v>
      </c>
    </row>
    <row r="91" spans="1:10" ht="14.25" customHeight="1" x14ac:dyDescent="0.3">
      <c r="A91" s="15">
        <v>43950</v>
      </c>
      <c r="B91" s="6" t="s">
        <v>13</v>
      </c>
      <c r="C91" s="6">
        <v>25917</v>
      </c>
      <c r="D91" s="27">
        <v>2397588</v>
      </c>
      <c r="E91" s="5">
        <f>IFERROR(VLOOKUP(J91,Sheet2!C91:F594,2),0)</f>
        <v>0</v>
      </c>
      <c r="F91" s="5">
        <f>IFERROR(VLOOKUP(J91,Sheet2!C91:F594,3),0)</f>
        <v>0</v>
      </c>
      <c r="G91" s="5">
        <f>IFERROR(VLOOKUP(J91, Sheet2!C91:F594,4),0)</f>
        <v>0</v>
      </c>
      <c r="H91" s="12">
        <f t="shared" si="3"/>
        <v>0</v>
      </c>
      <c r="I91">
        <f t="shared" si="4"/>
        <v>18</v>
      </c>
      <c r="J91" t="str">
        <f t="shared" si="5"/>
        <v>2020-04-29Нижний Новгород</v>
      </c>
    </row>
    <row r="92" spans="1:10" ht="14.25" customHeight="1" x14ac:dyDescent="0.3">
      <c r="A92" s="14">
        <v>43953</v>
      </c>
      <c r="B92" s="4" t="s">
        <v>13</v>
      </c>
      <c r="C92" s="4">
        <v>19461</v>
      </c>
      <c r="D92" s="26">
        <v>1799230.5</v>
      </c>
      <c r="E92" s="5">
        <f>IFERROR(VLOOKUP(J92,Sheet2!C92:F595,2),0)</f>
        <v>0</v>
      </c>
      <c r="F92" s="5">
        <f>IFERROR(VLOOKUP(J92,Sheet2!C92:F595,3),0)</f>
        <v>0</v>
      </c>
      <c r="G92" s="5">
        <f>IFERROR(VLOOKUP(J92, Sheet2!C92:F595,4),0)</f>
        <v>0</v>
      </c>
      <c r="H92" s="12">
        <f t="shared" si="3"/>
        <v>0</v>
      </c>
      <c r="I92">
        <f t="shared" si="4"/>
        <v>18</v>
      </c>
      <c r="J92" t="str">
        <f t="shared" si="5"/>
        <v>2020-05-02Нижний Новгород</v>
      </c>
    </row>
    <row r="93" spans="1:10" ht="14.25" customHeight="1" x14ac:dyDescent="0.3">
      <c r="A93" s="15">
        <v>43977</v>
      </c>
      <c r="B93" s="6" t="s">
        <v>13</v>
      </c>
      <c r="C93" s="6">
        <v>31407</v>
      </c>
      <c r="D93" s="27">
        <v>2907411</v>
      </c>
      <c r="E93" s="5">
        <f>IFERROR(VLOOKUP(J93,Sheet2!C93:F596,2),0)</f>
        <v>20</v>
      </c>
      <c r="F93" s="5">
        <f>IFERROR(VLOOKUP(J93,Sheet2!C93:F596,3),0)</f>
        <v>2036</v>
      </c>
      <c r="G93" s="5">
        <f>IFERROR(VLOOKUP(J93, Sheet2!C93:F596,4),0)</f>
        <v>1790</v>
      </c>
      <c r="H93" s="12">
        <f t="shared" si="3"/>
        <v>145370.54999999999</v>
      </c>
      <c r="I93">
        <f t="shared" si="4"/>
        <v>22</v>
      </c>
      <c r="J93" t="str">
        <f t="shared" si="5"/>
        <v>2020-05-26Нижний Новгород</v>
      </c>
    </row>
    <row r="94" spans="1:10" ht="14.25" customHeight="1" x14ac:dyDescent="0.3">
      <c r="A94" s="14">
        <v>43952</v>
      </c>
      <c r="B94" s="4" t="s">
        <v>13</v>
      </c>
      <c r="C94" s="4">
        <v>25792.5</v>
      </c>
      <c r="D94" s="26">
        <v>2374356</v>
      </c>
      <c r="E94" s="5">
        <f>IFERROR(VLOOKUP(J94,Sheet2!C94:F597,2),0)</f>
        <v>0</v>
      </c>
      <c r="F94" s="5">
        <f>IFERROR(VLOOKUP(J94,Sheet2!C94:F597,3),0)</f>
        <v>0</v>
      </c>
      <c r="G94" s="5">
        <f>IFERROR(VLOOKUP(J94, Sheet2!C94:F597,4),0)</f>
        <v>0</v>
      </c>
      <c r="H94" s="12">
        <f t="shared" si="3"/>
        <v>0</v>
      </c>
      <c r="I94">
        <f t="shared" si="4"/>
        <v>18</v>
      </c>
      <c r="J94" t="str">
        <f t="shared" si="5"/>
        <v>2020-05-01Нижний Новгород</v>
      </c>
    </row>
    <row r="95" spans="1:10" ht="14.25" customHeight="1" x14ac:dyDescent="0.3">
      <c r="A95" s="15">
        <v>43963</v>
      </c>
      <c r="B95" s="6" t="s">
        <v>13</v>
      </c>
      <c r="C95" s="6">
        <v>26032.5</v>
      </c>
      <c r="D95" s="27">
        <v>2370432</v>
      </c>
      <c r="E95" s="5">
        <f>IFERROR(VLOOKUP(J95,Sheet2!C95:F598,2),0)</f>
        <v>19</v>
      </c>
      <c r="F95" s="5">
        <f>IFERROR(VLOOKUP(J95,Sheet2!C95:F598,3),0)</f>
        <v>1649</v>
      </c>
      <c r="G95" s="5">
        <f>IFERROR(VLOOKUP(J95, Sheet2!C95:F598,4),0)</f>
        <v>1460</v>
      </c>
      <c r="H95" s="12">
        <f t="shared" si="3"/>
        <v>124759.57894736843</v>
      </c>
      <c r="I95">
        <f t="shared" si="4"/>
        <v>20</v>
      </c>
      <c r="J95" t="str">
        <f t="shared" si="5"/>
        <v>2020-05-12Нижний Новгород</v>
      </c>
    </row>
    <row r="96" spans="1:10" ht="14.25" customHeight="1" x14ac:dyDescent="0.3">
      <c r="A96" s="14">
        <v>43972</v>
      </c>
      <c r="B96" s="4" t="s">
        <v>13</v>
      </c>
      <c r="C96" s="4">
        <v>31707</v>
      </c>
      <c r="D96" s="26">
        <v>2853181.5</v>
      </c>
      <c r="E96" s="5">
        <f>IFERROR(VLOOKUP(J96,Sheet2!C96:F599,2),0)</f>
        <v>19</v>
      </c>
      <c r="F96" s="5">
        <f>IFERROR(VLOOKUP(J96,Sheet2!C96:F599,3),0)</f>
        <v>1949</v>
      </c>
      <c r="G96" s="5">
        <f>IFERROR(VLOOKUP(J96, Sheet2!C96:F599,4),0)</f>
        <v>1724</v>
      </c>
      <c r="H96" s="12">
        <f t="shared" si="3"/>
        <v>150167.44736842104</v>
      </c>
      <c r="I96">
        <f t="shared" si="4"/>
        <v>21</v>
      </c>
      <c r="J96" t="str">
        <f t="shared" si="5"/>
        <v>2020-05-21Нижний Новгород</v>
      </c>
    </row>
    <row r="97" spans="1:10" ht="14.25" customHeight="1" x14ac:dyDescent="0.3">
      <c r="A97" s="15">
        <v>43971</v>
      </c>
      <c r="B97" s="6" t="s">
        <v>13</v>
      </c>
      <c r="C97" s="6">
        <v>29955</v>
      </c>
      <c r="D97" s="27">
        <v>2692230</v>
      </c>
      <c r="E97" s="5">
        <f>IFERROR(VLOOKUP(J97,Sheet2!C97:F600,2),0)</f>
        <v>19</v>
      </c>
      <c r="F97" s="5">
        <f>IFERROR(VLOOKUP(J97,Sheet2!C97:F600,3),0)</f>
        <v>1889</v>
      </c>
      <c r="G97" s="5">
        <f>IFERROR(VLOOKUP(J97, Sheet2!C97:F600,4),0)</f>
        <v>1690</v>
      </c>
      <c r="H97" s="12">
        <f t="shared" si="3"/>
        <v>141696.31578947368</v>
      </c>
      <c r="I97">
        <f t="shared" si="4"/>
        <v>21</v>
      </c>
      <c r="J97" t="str">
        <f t="shared" si="5"/>
        <v>2020-05-20Нижний Новгород</v>
      </c>
    </row>
    <row r="98" spans="1:10" ht="14.25" customHeight="1" x14ac:dyDescent="0.3">
      <c r="A98" s="14">
        <v>43956</v>
      </c>
      <c r="B98" s="4" t="s">
        <v>13</v>
      </c>
      <c r="C98" s="4">
        <v>22848</v>
      </c>
      <c r="D98" s="26">
        <v>2079900</v>
      </c>
      <c r="E98" s="5">
        <f>IFERROR(VLOOKUP(J98,Sheet2!C98:F601,2),0)</f>
        <v>19</v>
      </c>
      <c r="F98" s="5">
        <f>IFERROR(VLOOKUP(J98,Sheet2!C98:F601,3),0)</f>
        <v>1417</v>
      </c>
      <c r="G98" s="5">
        <f>IFERROR(VLOOKUP(J98, Sheet2!C98:F601,4),0)</f>
        <v>1245</v>
      </c>
      <c r="H98" s="12">
        <f t="shared" si="3"/>
        <v>109468.42105263157</v>
      </c>
      <c r="I98">
        <f t="shared" si="4"/>
        <v>19</v>
      </c>
      <c r="J98" t="str">
        <f t="shared" si="5"/>
        <v>2020-05-05Нижний Новгород</v>
      </c>
    </row>
    <row r="99" spans="1:10" ht="14.25" customHeight="1" x14ac:dyDescent="0.3">
      <c r="A99" s="15">
        <v>43949</v>
      </c>
      <c r="B99" s="6" t="s">
        <v>13</v>
      </c>
      <c r="C99" s="6">
        <v>23314.5</v>
      </c>
      <c r="D99" s="27">
        <v>2136817.5</v>
      </c>
      <c r="E99" s="5">
        <f>IFERROR(VLOOKUP(J99,Sheet2!C99:F602,2),0)</f>
        <v>0</v>
      </c>
      <c r="F99" s="5">
        <f>IFERROR(VLOOKUP(J99,Sheet2!C99:F602,3),0)</f>
        <v>0</v>
      </c>
      <c r="G99" s="5">
        <f>IFERROR(VLOOKUP(J99, Sheet2!C99:F602,4),0)</f>
        <v>0</v>
      </c>
      <c r="H99" s="12">
        <f t="shared" si="3"/>
        <v>0</v>
      </c>
      <c r="I99">
        <f t="shared" si="4"/>
        <v>18</v>
      </c>
      <c r="J99" t="str">
        <f t="shared" si="5"/>
        <v>2020-04-28Нижний Новгород</v>
      </c>
    </row>
    <row r="100" spans="1:10" ht="14.25" customHeight="1" x14ac:dyDescent="0.3">
      <c r="A100" s="14">
        <v>43964</v>
      </c>
      <c r="B100" s="4" t="s">
        <v>13</v>
      </c>
      <c r="C100" s="4">
        <v>26464.5</v>
      </c>
      <c r="D100" s="26">
        <v>2373337.5</v>
      </c>
      <c r="E100" s="5">
        <f>IFERROR(VLOOKUP(J100,Sheet2!C100:F603,2),0)</f>
        <v>19</v>
      </c>
      <c r="F100" s="5">
        <f>IFERROR(VLOOKUP(J100,Sheet2!C100:F603,3),0)</f>
        <v>1625</v>
      </c>
      <c r="G100" s="5">
        <f>IFERROR(VLOOKUP(J100, Sheet2!C100:F603,4),0)</f>
        <v>1444</v>
      </c>
      <c r="H100" s="12">
        <f t="shared" si="3"/>
        <v>124912.5</v>
      </c>
      <c r="I100">
        <f t="shared" si="4"/>
        <v>20</v>
      </c>
      <c r="J100" t="str">
        <f t="shared" si="5"/>
        <v>2020-05-13Нижний Новгород</v>
      </c>
    </row>
    <row r="101" spans="1:10" ht="14.25" customHeight="1" x14ac:dyDescent="0.3">
      <c r="A101" s="15">
        <v>43954</v>
      </c>
      <c r="B101" s="6" t="s">
        <v>13</v>
      </c>
      <c r="C101" s="6">
        <v>23539.5</v>
      </c>
      <c r="D101" s="27">
        <v>2170309.5</v>
      </c>
      <c r="E101" s="5">
        <f>IFERROR(VLOOKUP(J101,Sheet2!C101:F604,2),0)</f>
        <v>0</v>
      </c>
      <c r="F101" s="5">
        <f>IFERROR(VLOOKUP(J101,Sheet2!C101:F604,3),0)</f>
        <v>0</v>
      </c>
      <c r="G101" s="5">
        <f>IFERROR(VLOOKUP(J101, Sheet2!C101:F604,4),0)</f>
        <v>0</v>
      </c>
      <c r="H101" s="12">
        <f t="shared" si="3"/>
        <v>0</v>
      </c>
      <c r="I101">
        <f t="shared" si="4"/>
        <v>18</v>
      </c>
      <c r="J101" t="str">
        <f t="shared" si="5"/>
        <v>2020-05-03Нижний Новгород</v>
      </c>
    </row>
    <row r="102" spans="1:10" ht="14.25" customHeight="1" x14ac:dyDescent="0.3">
      <c r="A102" s="14">
        <v>43957</v>
      </c>
      <c r="B102" s="4" t="s">
        <v>13</v>
      </c>
      <c r="C102" s="4">
        <v>24678</v>
      </c>
      <c r="D102" s="26">
        <v>2232519</v>
      </c>
      <c r="E102" s="5">
        <f>IFERROR(VLOOKUP(J102,Sheet2!C102:F605,2),0)</f>
        <v>19</v>
      </c>
      <c r="F102" s="5">
        <f>IFERROR(VLOOKUP(J102,Sheet2!C102:F605,3),0)</f>
        <v>1499</v>
      </c>
      <c r="G102" s="5">
        <f>IFERROR(VLOOKUP(J102, Sheet2!C102:F605,4),0)</f>
        <v>1323</v>
      </c>
      <c r="H102" s="12">
        <f t="shared" si="3"/>
        <v>117501</v>
      </c>
      <c r="I102">
        <f t="shared" si="4"/>
        <v>19</v>
      </c>
      <c r="J102" t="str">
        <f t="shared" si="5"/>
        <v>2020-05-06Нижний Новгород</v>
      </c>
    </row>
    <row r="103" spans="1:10" ht="14.25" customHeight="1" x14ac:dyDescent="0.3">
      <c r="A103" s="15">
        <v>43974</v>
      </c>
      <c r="B103" s="6" t="s">
        <v>13</v>
      </c>
      <c r="C103" s="6">
        <v>38176.5</v>
      </c>
      <c r="D103" s="27">
        <v>3385372.5</v>
      </c>
      <c r="E103" s="5">
        <f>IFERROR(VLOOKUP(J103,Sheet2!C103:F606,2),0)</f>
        <v>20</v>
      </c>
      <c r="F103" s="5">
        <f>IFERROR(VLOOKUP(J103,Sheet2!C103:F606,3),0)</f>
        <v>2266</v>
      </c>
      <c r="G103" s="5">
        <f>IFERROR(VLOOKUP(J103, Sheet2!C103:F606,4),0)</f>
        <v>1993</v>
      </c>
      <c r="H103" s="12">
        <f t="shared" si="3"/>
        <v>169268.625</v>
      </c>
      <c r="I103">
        <f t="shared" si="4"/>
        <v>21</v>
      </c>
      <c r="J103" t="str">
        <f t="shared" si="5"/>
        <v>2020-05-23Нижний Новгород</v>
      </c>
    </row>
    <row r="104" spans="1:10" ht="14.25" customHeight="1" x14ac:dyDescent="0.3">
      <c r="A104" s="14">
        <v>43976</v>
      </c>
      <c r="B104" s="4" t="s">
        <v>13</v>
      </c>
      <c r="C104" s="4">
        <v>30603</v>
      </c>
      <c r="D104" s="26">
        <v>2865727.5</v>
      </c>
      <c r="E104" s="5">
        <f>IFERROR(VLOOKUP(J104,Sheet2!C104:F607,2),0)</f>
        <v>20</v>
      </c>
      <c r="F104" s="5">
        <f>IFERROR(VLOOKUP(J104,Sheet2!C104:F607,3),0)</f>
        <v>2011</v>
      </c>
      <c r="G104" s="5">
        <f>IFERROR(VLOOKUP(J104, Sheet2!C104:F607,4),0)</f>
        <v>1791</v>
      </c>
      <c r="H104" s="12">
        <f t="shared" si="3"/>
        <v>143286.375</v>
      </c>
      <c r="I104">
        <f t="shared" si="4"/>
        <v>22</v>
      </c>
      <c r="J104" t="str">
        <f t="shared" si="5"/>
        <v>2020-05-25Нижний Новгород</v>
      </c>
    </row>
    <row r="105" spans="1:10" ht="14.25" customHeight="1" x14ac:dyDescent="0.3">
      <c r="A105" s="15">
        <v>43951</v>
      </c>
      <c r="B105" s="6" t="s">
        <v>13</v>
      </c>
      <c r="C105" s="6">
        <v>24211.5</v>
      </c>
      <c r="D105" s="27">
        <v>2267664</v>
      </c>
      <c r="E105" s="5">
        <f>IFERROR(VLOOKUP(J105,Sheet2!C105:F608,2),0)</f>
        <v>0</v>
      </c>
      <c r="F105" s="5">
        <f>IFERROR(VLOOKUP(J105,Sheet2!C105:F608,3),0)</f>
        <v>0</v>
      </c>
      <c r="G105" s="5">
        <f>IFERROR(VLOOKUP(J105, Sheet2!C105:F608,4),0)</f>
        <v>0</v>
      </c>
      <c r="H105" s="12">
        <f t="shared" si="3"/>
        <v>0</v>
      </c>
      <c r="I105">
        <f t="shared" si="4"/>
        <v>18</v>
      </c>
      <c r="J105" t="str">
        <f t="shared" si="5"/>
        <v>2020-04-30Нижний Новгород</v>
      </c>
    </row>
    <row r="106" spans="1:10" ht="14.25" customHeight="1" x14ac:dyDescent="0.3">
      <c r="A106" s="14">
        <v>43961</v>
      </c>
      <c r="B106" s="4" t="s">
        <v>13</v>
      </c>
      <c r="C106" s="4">
        <v>31399.5</v>
      </c>
      <c r="D106" s="26">
        <v>2862298.5</v>
      </c>
      <c r="E106" s="5">
        <f>IFERROR(VLOOKUP(J106,Sheet2!C106:F609,2),0)</f>
        <v>19</v>
      </c>
      <c r="F106" s="5">
        <f>IFERROR(VLOOKUP(J106,Sheet2!C106:F609,3),0)</f>
        <v>1848</v>
      </c>
      <c r="G106" s="5">
        <f>IFERROR(VLOOKUP(J106, Sheet2!C106:F609,4),0)</f>
        <v>1649</v>
      </c>
      <c r="H106" s="12">
        <f t="shared" si="3"/>
        <v>150647.28947368421</v>
      </c>
      <c r="I106">
        <f t="shared" si="4"/>
        <v>19</v>
      </c>
      <c r="J106" t="str">
        <f t="shared" si="5"/>
        <v>2020-05-10Нижний Новгород</v>
      </c>
    </row>
    <row r="107" spans="1:10" ht="14.25" customHeight="1" x14ac:dyDescent="0.3">
      <c r="A107" s="15">
        <v>43959</v>
      </c>
      <c r="B107" s="6" t="s">
        <v>13</v>
      </c>
      <c r="C107" s="6">
        <v>25294.5</v>
      </c>
      <c r="D107" s="27">
        <v>2271454.5</v>
      </c>
      <c r="E107" s="5">
        <f>IFERROR(VLOOKUP(J107,Sheet2!C107:F610,2),0)</f>
        <v>19</v>
      </c>
      <c r="F107" s="5">
        <f>IFERROR(VLOOKUP(J107,Sheet2!C107:F610,3),0)</f>
        <v>1522</v>
      </c>
      <c r="G107" s="5">
        <f>IFERROR(VLOOKUP(J107, Sheet2!C107:F610,4),0)</f>
        <v>1340</v>
      </c>
      <c r="H107" s="12">
        <f t="shared" si="3"/>
        <v>119550.23684210527</v>
      </c>
      <c r="I107">
        <f t="shared" si="4"/>
        <v>19</v>
      </c>
      <c r="J107" t="str">
        <f t="shared" si="5"/>
        <v>2020-05-08Нижний Новгород</v>
      </c>
    </row>
    <row r="108" spans="1:10" ht="14.25" customHeight="1" x14ac:dyDescent="0.3">
      <c r="A108" s="14">
        <v>43958</v>
      </c>
      <c r="B108" s="4" t="s">
        <v>13</v>
      </c>
      <c r="C108" s="4">
        <v>25468.5</v>
      </c>
      <c r="D108" s="26">
        <v>2350672.5</v>
      </c>
      <c r="E108" s="5">
        <f>IFERROR(VLOOKUP(J108,Sheet2!C108:F611,2),0)</f>
        <v>19</v>
      </c>
      <c r="F108" s="5">
        <f>IFERROR(VLOOKUP(J108,Sheet2!C108:F611,3),0)</f>
        <v>1530</v>
      </c>
      <c r="G108" s="5">
        <f>IFERROR(VLOOKUP(J108, Sheet2!C108:F611,4),0)</f>
        <v>1338</v>
      </c>
      <c r="H108" s="12">
        <f t="shared" si="3"/>
        <v>123719.60526315789</v>
      </c>
      <c r="I108">
        <f t="shared" si="4"/>
        <v>19</v>
      </c>
      <c r="J108" t="str">
        <f t="shared" si="5"/>
        <v>2020-05-07Нижний Новгород</v>
      </c>
    </row>
    <row r="109" spans="1:10" ht="14.25" customHeight="1" x14ac:dyDescent="0.3">
      <c r="A109" s="15">
        <v>43975</v>
      </c>
      <c r="B109" s="6" t="s">
        <v>13</v>
      </c>
      <c r="C109" s="6">
        <v>31854</v>
      </c>
      <c r="D109" s="27">
        <v>2915533.5</v>
      </c>
      <c r="E109" s="5">
        <f>IFERROR(VLOOKUP(J109,Sheet2!C109:F612,2),0)</f>
        <v>20</v>
      </c>
      <c r="F109" s="5">
        <f>IFERROR(VLOOKUP(J109,Sheet2!C109:F612,3),0)</f>
        <v>2015</v>
      </c>
      <c r="G109" s="5">
        <f>IFERROR(VLOOKUP(J109, Sheet2!C109:F612,4),0)</f>
        <v>1803</v>
      </c>
      <c r="H109" s="12">
        <f t="shared" si="3"/>
        <v>145776.67499999999</v>
      </c>
      <c r="I109">
        <f t="shared" si="4"/>
        <v>21</v>
      </c>
      <c r="J109" t="str">
        <f t="shared" si="5"/>
        <v>2020-05-24Нижний Новгород</v>
      </c>
    </row>
    <row r="110" spans="1:10" ht="14.25" customHeight="1" x14ac:dyDescent="0.3">
      <c r="A110" s="14">
        <v>43982</v>
      </c>
      <c r="B110" s="4" t="s">
        <v>13</v>
      </c>
      <c r="C110" s="4">
        <v>32359.5</v>
      </c>
      <c r="D110" s="26">
        <v>2991999</v>
      </c>
      <c r="E110" s="5">
        <f>IFERROR(VLOOKUP(J110,Sheet2!C110:F613,2),0)</f>
        <v>20</v>
      </c>
      <c r="F110" s="5">
        <f>IFERROR(VLOOKUP(J110,Sheet2!C110:F613,3),0)</f>
        <v>2060</v>
      </c>
      <c r="G110" s="5">
        <f>IFERROR(VLOOKUP(J110, Sheet2!C110:F613,4),0)</f>
        <v>1826</v>
      </c>
      <c r="H110" s="12">
        <f t="shared" si="3"/>
        <v>149599.95000000001</v>
      </c>
      <c r="I110">
        <f t="shared" si="4"/>
        <v>22</v>
      </c>
      <c r="J110" t="str">
        <f t="shared" si="5"/>
        <v>2020-05-31Нижний Новгород</v>
      </c>
    </row>
    <row r="111" spans="1:10" ht="14.25" customHeight="1" x14ac:dyDescent="0.3">
      <c r="A111" s="15">
        <v>43981</v>
      </c>
      <c r="B111" s="6" t="s">
        <v>13</v>
      </c>
      <c r="C111" s="6">
        <v>39867</v>
      </c>
      <c r="D111" s="27">
        <v>3654166.5</v>
      </c>
      <c r="E111" s="5">
        <f>IFERROR(VLOOKUP(J111,Sheet2!C111:F614,2),0)</f>
        <v>20</v>
      </c>
      <c r="F111" s="5">
        <f>IFERROR(VLOOKUP(J111,Sheet2!C111:F614,3),0)</f>
        <v>2451</v>
      </c>
      <c r="G111" s="5">
        <f>IFERROR(VLOOKUP(J111, Sheet2!C111:F614,4),0)</f>
        <v>2178</v>
      </c>
      <c r="H111" s="12">
        <f t="shared" si="3"/>
        <v>182708.32500000001</v>
      </c>
      <c r="I111">
        <f t="shared" si="4"/>
        <v>22</v>
      </c>
      <c r="J111" t="str">
        <f t="shared" si="5"/>
        <v>2020-05-30Нижний Новгород</v>
      </c>
    </row>
    <row r="112" spans="1:10" ht="14.25" customHeight="1" x14ac:dyDescent="0.3">
      <c r="A112" s="14">
        <v>43979</v>
      </c>
      <c r="B112" s="4" t="s">
        <v>13</v>
      </c>
      <c r="C112" s="4">
        <v>31974</v>
      </c>
      <c r="D112" s="26">
        <v>3004213.5</v>
      </c>
      <c r="E112" s="5">
        <f>IFERROR(VLOOKUP(J112,Sheet2!C112:F615,2),0)</f>
        <v>20</v>
      </c>
      <c r="F112" s="5">
        <f>IFERROR(VLOOKUP(J112,Sheet2!C112:F615,3),0)</f>
        <v>2088</v>
      </c>
      <c r="G112" s="5">
        <f>IFERROR(VLOOKUP(J112, Sheet2!C112:F615,4),0)</f>
        <v>1848</v>
      </c>
      <c r="H112" s="12">
        <f t="shared" si="3"/>
        <v>150210.67499999999</v>
      </c>
      <c r="I112">
        <f t="shared" si="4"/>
        <v>22</v>
      </c>
      <c r="J112" t="str">
        <f t="shared" si="5"/>
        <v>2020-05-28Нижний Новгород</v>
      </c>
    </row>
    <row r="113" spans="1:10" ht="14.25" customHeight="1" x14ac:dyDescent="0.3">
      <c r="A113" s="15">
        <v>43967</v>
      </c>
      <c r="B113" s="6" t="s">
        <v>14</v>
      </c>
      <c r="C113" s="6">
        <v>321412.5</v>
      </c>
      <c r="D113" s="27">
        <v>32235864</v>
      </c>
      <c r="E113" s="5">
        <f>IFERROR(VLOOKUP(J113,Sheet2!C113:F616,2),0)</f>
        <v>129</v>
      </c>
      <c r="F113" s="5">
        <f>IFERROR(VLOOKUP(J113,Sheet2!C113:F616,3),0)</f>
        <v>17914</v>
      </c>
      <c r="G113" s="5">
        <f>IFERROR(VLOOKUP(J113, Sheet2!C113:F616,4),0)</f>
        <v>16631</v>
      </c>
      <c r="H113" s="12">
        <f t="shared" si="3"/>
        <v>249890.41860465117</v>
      </c>
      <c r="I113">
        <f t="shared" si="4"/>
        <v>20</v>
      </c>
      <c r="J113" t="str">
        <f t="shared" si="5"/>
        <v>2020-05-16Санкт-Петербург Юг</v>
      </c>
    </row>
    <row r="114" spans="1:10" ht="14.25" customHeight="1" x14ac:dyDescent="0.3">
      <c r="A114" s="14">
        <v>43970</v>
      </c>
      <c r="B114" s="4" t="s">
        <v>14</v>
      </c>
      <c r="C114" s="4">
        <v>276568.5</v>
      </c>
      <c r="D114" s="26">
        <v>27093624</v>
      </c>
      <c r="E114" s="5">
        <f>IFERROR(VLOOKUP(J114,Sheet2!C114:F617,2),0)</f>
        <v>129</v>
      </c>
      <c r="F114" s="5">
        <f>IFERROR(VLOOKUP(J114,Sheet2!C114:F617,3),0)</f>
        <v>16191</v>
      </c>
      <c r="G114" s="5">
        <f>IFERROR(VLOOKUP(J114, Sheet2!C114:F617,4),0)</f>
        <v>15102</v>
      </c>
      <c r="H114" s="12">
        <f t="shared" si="3"/>
        <v>210028.09302325582</v>
      </c>
      <c r="I114">
        <f t="shared" si="4"/>
        <v>21</v>
      </c>
      <c r="J114" t="str">
        <f t="shared" si="5"/>
        <v>2020-05-19Санкт-Петербург Юг</v>
      </c>
    </row>
    <row r="115" spans="1:10" ht="14.25" customHeight="1" x14ac:dyDescent="0.3">
      <c r="A115" s="15">
        <v>43968</v>
      </c>
      <c r="B115" s="6" t="s">
        <v>14</v>
      </c>
      <c r="C115" s="6">
        <v>269029.5</v>
      </c>
      <c r="D115" s="27">
        <v>26659930.5</v>
      </c>
      <c r="E115" s="5">
        <f>IFERROR(VLOOKUP(J115,Sheet2!C115:F618,2),0)</f>
        <v>129</v>
      </c>
      <c r="F115" s="5">
        <f>IFERROR(VLOOKUP(J115,Sheet2!C115:F618,3),0)</f>
        <v>15744</v>
      </c>
      <c r="G115" s="5">
        <f>IFERROR(VLOOKUP(J115, Sheet2!C115:F618,4),0)</f>
        <v>14685</v>
      </c>
      <c r="H115" s="12">
        <f t="shared" si="3"/>
        <v>206666.12790697673</v>
      </c>
      <c r="I115">
        <f t="shared" si="4"/>
        <v>20</v>
      </c>
      <c r="J115" t="str">
        <f t="shared" si="5"/>
        <v>2020-05-17Санкт-Петербург Юг</v>
      </c>
    </row>
    <row r="116" spans="1:10" ht="14.25" customHeight="1" x14ac:dyDescent="0.3">
      <c r="A116" s="14">
        <v>43960</v>
      </c>
      <c r="B116" s="4" t="s">
        <v>14</v>
      </c>
      <c r="C116" s="4">
        <v>285972</v>
      </c>
      <c r="D116" s="26">
        <v>29768199</v>
      </c>
      <c r="E116" s="5">
        <f>IFERROR(VLOOKUP(J116,Sheet2!C116:F619,2),0)</f>
        <v>129</v>
      </c>
      <c r="F116" s="5">
        <f>IFERROR(VLOOKUP(J116,Sheet2!C116:F619,3),0)</f>
        <v>16420</v>
      </c>
      <c r="G116" s="5">
        <f>IFERROR(VLOOKUP(J116, Sheet2!C116:F619,4),0)</f>
        <v>15169</v>
      </c>
      <c r="H116" s="12">
        <f t="shared" si="3"/>
        <v>230761.23255813954</v>
      </c>
      <c r="I116">
        <f t="shared" si="4"/>
        <v>19</v>
      </c>
      <c r="J116" t="str">
        <f t="shared" si="5"/>
        <v>2020-05-09Санкт-Петербург Юг</v>
      </c>
    </row>
    <row r="117" spans="1:10" ht="14.25" customHeight="1" x14ac:dyDescent="0.3">
      <c r="A117" s="15">
        <v>43955</v>
      </c>
      <c r="B117" s="6" t="s">
        <v>14</v>
      </c>
      <c r="C117" s="6">
        <v>283942.5</v>
      </c>
      <c r="D117" s="27">
        <v>29357940</v>
      </c>
      <c r="E117" s="5">
        <f>IFERROR(VLOOKUP(J117,Sheet2!C117:F620,2),0)</f>
        <v>0</v>
      </c>
      <c r="F117" s="5">
        <f>IFERROR(VLOOKUP(J117,Sheet2!C117:F620,3),0)</f>
        <v>0</v>
      </c>
      <c r="G117" s="5">
        <f>IFERROR(VLOOKUP(J117, Sheet2!C117:F620,4),0)</f>
        <v>0</v>
      </c>
      <c r="H117" s="12">
        <f t="shared" si="3"/>
        <v>0</v>
      </c>
      <c r="I117">
        <f t="shared" si="4"/>
        <v>19</v>
      </c>
      <c r="J117" t="str">
        <f t="shared" si="5"/>
        <v>2020-05-04Санкт-Петербург Юг</v>
      </c>
    </row>
    <row r="118" spans="1:10" ht="14.25" customHeight="1" x14ac:dyDescent="0.3">
      <c r="A118" s="14">
        <v>43950</v>
      </c>
      <c r="B118" s="4" t="s">
        <v>14</v>
      </c>
      <c r="C118" s="4">
        <v>298059</v>
      </c>
      <c r="D118" s="26">
        <v>30869287.5</v>
      </c>
      <c r="E118" s="5">
        <f>IFERROR(VLOOKUP(J118,Sheet2!C118:F621,2),0)</f>
        <v>0</v>
      </c>
      <c r="F118" s="5">
        <f>IFERROR(VLOOKUP(J118,Sheet2!C118:F621,3),0)</f>
        <v>0</v>
      </c>
      <c r="G118" s="5">
        <f>IFERROR(VLOOKUP(J118, Sheet2!C118:F621,4),0)</f>
        <v>0</v>
      </c>
      <c r="H118" s="12">
        <f t="shared" si="3"/>
        <v>0</v>
      </c>
      <c r="I118">
        <f t="shared" si="4"/>
        <v>18</v>
      </c>
      <c r="J118" t="str">
        <f t="shared" si="5"/>
        <v>2020-04-29Санкт-Петербург Юг</v>
      </c>
    </row>
    <row r="119" spans="1:10" ht="14.25" customHeight="1" x14ac:dyDescent="0.3">
      <c r="A119" s="15">
        <v>43953</v>
      </c>
      <c r="B119" s="6" t="s">
        <v>14</v>
      </c>
      <c r="C119" s="6">
        <v>232903.5</v>
      </c>
      <c r="D119" s="27">
        <v>24342016.5</v>
      </c>
      <c r="E119" s="5">
        <f>IFERROR(VLOOKUP(J119,Sheet2!C119:F622,2),0)</f>
        <v>0</v>
      </c>
      <c r="F119" s="5">
        <f>IFERROR(VLOOKUP(J119,Sheet2!C119:F622,3),0)</f>
        <v>0</v>
      </c>
      <c r="G119" s="5">
        <f>IFERROR(VLOOKUP(J119, Sheet2!C119:F622,4),0)</f>
        <v>0</v>
      </c>
      <c r="H119" s="12">
        <f t="shared" si="3"/>
        <v>0</v>
      </c>
      <c r="I119">
        <f t="shared" si="4"/>
        <v>18</v>
      </c>
      <c r="J119" t="str">
        <f t="shared" si="5"/>
        <v>2020-05-02Санкт-Петербург Юг</v>
      </c>
    </row>
    <row r="120" spans="1:10" ht="14.25" customHeight="1" x14ac:dyDescent="0.3">
      <c r="A120" s="14">
        <v>43977</v>
      </c>
      <c r="B120" s="4" t="s">
        <v>14</v>
      </c>
      <c r="C120" s="4">
        <v>276966</v>
      </c>
      <c r="D120" s="26">
        <v>27872617.898850001</v>
      </c>
      <c r="E120" s="5">
        <f>IFERROR(VLOOKUP(J120,Sheet2!C120:F623,2),0)</f>
        <v>129</v>
      </c>
      <c r="F120" s="5">
        <f>IFERROR(VLOOKUP(J120,Sheet2!C120:F623,3),0)</f>
        <v>16459</v>
      </c>
      <c r="G120" s="5">
        <f>IFERROR(VLOOKUP(J120, Sheet2!C120:F623,4),0)</f>
        <v>15355</v>
      </c>
      <c r="H120" s="12">
        <f t="shared" si="3"/>
        <v>216066.80541744188</v>
      </c>
      <c r="I120">
        <f t="shared" si="4"/>
        <v>22</v>
      </c>
      <c r="J120" t="str">
        <f t="shared" si="5"/>
        <v>2020-05-26Санкт-Петербург Юг</v>
      </c>
    </row>
    <row r="121" spans="1:10" ht="14.25" customHeight="1" x14ac:dyDescent="0.3">
      <c r="A121" s="15">
        <v>43952</v>
      </c>
      <c r="B121" s="6" t="s">
        <v>14</v>
      </c>
      <c r="C121" s="6">
        <v>296149.5</v>
      </c>
      <c r="D121" s="27">
        <v>31053316.5</v>
      </c>
      <c r="E121" s="5">
        <f>IFERROR(VLOOKUP(J121,Sheet2!C121:F624,2),0)</f>
        <v>0</v>
      </c>
      <c r="F121" s="5">
        <f>IFERROR(VLOOKUP(J121,Sheet2!C121:F624,3),0)</f>
        <v>0</v>
      </c>
      <c r="G121" s="5">
        <f>IFERROR(VLOOKUP(J121, Sheet2!C121:F624,4),0)</f>
        <v>0</v>
      </c>
      <c r="H121" s="12">
        <f t="shared" si="3"/>
        <v>0</v>
      </c>
      <c r="I121">
        <f t="shared" si="4"/>
        <v>18</v>
      </c>
      <c r="J121" t="str">
        <f t="shared" si="5"/>
        <v>2020-05-01Санкт-Петербург Юг</v>
      </c>
    </row>
    <row r="122" spans="1:10" ht="14.25" customHeight="1" x14ac:dyDescent="0.3">
      <c r="A122" s="14">
        <v>43963</v>
      </c>
      <c r="B122" s="4" t="s">
        <v>14</v>
      </c>
      <c r="C122" s="4">
        <v>281796</v>
      </c>
      <c r="D122" s="26">
        <v>29042520</v>
      </c>
      <c r="E122" s="5">
        <f>IFERROR(VLOOKUP(J122,Sheet2!C122:F625,2),0)</f>
        <v>129</v>
      </c>
      <c r="F122" s="5">
        <f>IFERROR(VLOOKUP(J122,Sheet2!C122:F625,3),0)</f>
        <v>16387</v>
      </c>
      <c r="G122" s="5">
        <f>IFERROR(VLOOKUP(J122, Sheet2!C122:F625,4),0)</f>
        <v>15322</v>
      </c>
      <c r="H122" s="12">
        <f t="shared" si="3"/>
        <v>225135.81395348837</v>
      </c>
      <c r="I122">
        <f t="shared" si="4"/>
        <v>20</v>
      </c>
      <c r="J122" t="str">
        <f t="shared" si="5"/>
        <v>2020-05-12Санкт-Петербург Юг</v>
      </c>
    </row>
    <row r="123" spans="1:10" ht="14.25" customHeight="1" x14ac:dyDescent="0.3">
      <c r="A123" s="15">
        <v>43972</v>
      </c>
      <c r="B123" s="6" t="s">
        <v>14</v>
      </c>
      <c r="C123" s="6">
        <v>288936</v>
      </c>
      <c r="D123" s="27">
        <v>27852900</v>
      </c>
      <c r="E123" s="5">
        <f>IFERROR(VLOOKUP(J123,Sheet2!C123:F626,2),0)</f>
        <v>129</v>
      </c>
      <c r="F123" s="5">
        <f>IFERROR(VLOOKUP(J123,Sheet2!C123:F626,3),0)</f>
        <v>16373</v>
      </c>
      <c r="G123" s="5">
        <f>IFERROR(VLOOKUP(J123, Sheet2!C123:F626,4),0)</f>
        <v>15223</v>
      </c>
      <c r="H123" s="12">
        <f t="shared" si="3"/>
        <v>215913.95348837209</v>
      </c>
      <c r="I123">
        <f t="shared" si="4"/>
        <v>21</v>
      </c>
      <c r="J123" t="str">
        <f t="shared" si="5"/>
        <v>2020-05-21Санкт-Петербург Юг</v>
      </c>
    </row>
    <row r="124" spans="1:10" ht="14.25" customHeight="1" x14ac:dyDescent="0.3">
      <c r="A124" s="14">
        <v>43971</v>
      </c>
      <c r="B124" s="4" t="s">
        <v>14</v>
      </c>
      <c r="C124" s="4">
        <v>300151.5</v>
      </c>
      <c r="D124" s="26">
        <v>29368771.617449999</v>
      </c>
      <c r="E124" s="5">
        <f>IFERROR(VLOOKUP(J124,Sheet2!C124:F627,2),0)</f>
        <v>129</v>
      </c>
      <c r="F124" s="5">
        <f>IFERROR(VLOOKUP(J124,Sheet2!C124:F627,3),0)</f>
        <v>17095</v>
      </c>
      <c r="G124" s="5">
        <f>IFERROR(VLOOKUP(J124, Sheet2!C124:F627,4),0)</f>
        <v>15919</v>
      </c>
      <c r="H124" s="12">
        <f t="shared" si="3"/>
        <v>227664.8962593023</v>
      </c>
      <c r="I124">
        <f t="shared" si="4"/>
        <v>21</v>
      </c>
      <c r="J124" t="str">
        <f t="shared" si="5"/>
        <v>2020-05-20Санкт-Петербург Юг</v>
      </c>
    </row>
    <row r="125" spans="1:10" ht="14.25" customHeight="1" x14ac:dyDescent="0.3">
      <c r="A125" s="15">
        <v>43956</v>
      </c>
      <c r="B125" s="6" t="s">
        <v>14</v>
      </c>
      <c r="C125" s="6">
        <v>262734</v>
      </c>
      <c r="D125" s="27">
        <v>27278441.145</v>
      </c>
      <c r="E125" s="5">
        <f>IFERROR(VLOOKUP(J125,Sheet2!C125:F628,2),0)</f>
        <v>0</v>
      </c>
      <c r="F125" s="5">
        <f>IFERROR(VLOOKUP(J125,Sheet2!C125:F628,3),0)</f>
        <v>0</v>
      </c>
      <c r="G125" s="5">
        <f>IFERROR(VLOOKUP(J125, Sheet2!C125:F628,4),0)</f>
        <v>0</v>
      </c>
      <c r="H125" s="12">
        <f t="shared" si="3"/>
        <v>0</v>
      </c>
      <c r="I125">
        <f t="shared" si="4"/>
        <v>19</v>
      </c>
      <c r="J125" t="str">
        <f t="shared" si="5"/>
        <v>2020-05-05Санкт-Петербург Юг</v>
      </c>
    </row>
    <row r="126" spans="1:10" ht="14.25" customHeight="1" x14ac:dyDescent="0.3">
      <c r="A126" s="14">
        <v>43949</v>
      </c>
      <c r="B126" s="4" t="s">
        <v>14</v>
      </c>
      <c r="C126" s="4">
        <v>286002</v>
      </c>
      <c r="D126" s="26">
        <v>29159032.5</v>
      </c>
      <c r="E126" s="5">
        <f>IFERROR(VLOOKUP(J126,Sheet2!C126:F629,2),0)</f>
        <v>0</v>
      </c>
      <c r="F126" s="5">
        <f>IFERROR(VLOOKUP(J126,Sheet2!C126:F629,3),0)</f>
        <v>0</v>
      </c>
      <c r="G126" s="5">
        <f>IFERROR(VLOOKUP(J126, Sheet2!C126:F629,4),0)</f>
        <v>0</v>
      </c>
      <c r="H126" s="12">
        <f t="shared" si="3"/>
        <v>0</v>
      </c>
      <c r="I126">
        <f t="shared" si="4"/>
        <v>18</v>
      </c>
      <c r="J126" t="str">
        <f t="shared" si="5"/>
        <v>2020-04-28Санкт-Петербург Юг</v>
      </c>
    </row>
    <row r="127" spans="1:10" ht="14.25" customHeight="1" x14ac:dyDescent="0.3">
      <c r="A127" s="15">
        <v>43964</v>
      </c>
      <c r="B127" s="6" t="s">
        <v>14</v>
      </c>
      <c r="C127" s="6">
        <v>258459</v>
      </c>
      <c r="D127" s="27">
        <v>26467453.5</v>
      </c>
      <c r="E127" s="5">
        <f>IFERROR(VLOOKUP(J127,Sheet2!C127:F630,2),0)</f>
        <v>129</v>
      </c>
      <c r="F127" s="5">
        <f>IFERROR(VLOOKUP(J127,Sheet2!C127:F630,3),0)</f>
        <v>15304</v>
      </c>
      <c r="G127" s="5">
        <f>IFERROR(VLOOKUP(J127, Sheet2!C127:F630,4),0)</f>
        <v>14315</v>
      </c>
      <c r="H127" s="12">
        <f t="shared" si="3"/>
        <v>205174.05813953487</v>
      </c>
      <c r="I127">
        <f t="shared" si="4"/>
        <v>20</v>
      </c>
      <c r="J127" t="str">
        <f t="shared" si="5"/>
        <v>2020-05-13Санкт-Петербург Юг</v>
      </c>
    </row>
    <row r="128" spans="1:10" ht="14.25" customHeight="1" x14ac:dyDescent="0.3">
      <c r="A128" s="14">
        <v>43954</v>
      </c>
      <c r="B128" s="4" t="s">
        <v>14</v>
      </c>
      <c r="C128" s="4">
        <v>274083</v>
      </c>
      <c r="D128" s="26">
        <v>28427001</v>
      </c>
      <c r="E128" s="5">
        <f>IFERROR(VLOOKUP(J128,Sheet2!C128:F631,2),0)</f>
        <v>0</v>
      </c>
      <c r="F128" s="5">
        <f>IFERROR(VLOOKUP(J128,Sheet2!C128:F631,3),0)</f>
        <v>0</v>
      </c>
      <c r="G128" s="5">
        <f>IFERROR(VLOOKUP(J128, Sheet2!C128:F631,4),0)</f>
        <v>0</v>
      </c>
      <c r="H128" s="12">
        <f t="shared" si="3"/>
        <v>0</v>
      </c>
      <c r="I128">
        <f t="shared" si="4"/>
        <v>18</v>
      </c>
      <c r="J128" t="str">
        <f t="shared" si="5"/>
        <v>2020-05-03Санкт-Петербург Юг</v>
      </c>
    </row>
    <row r="129" spans="1:10" ht="14.25" customHeight="1" x14ac:dyDescent="0.3">
      <c r="A129" s="15">
        <v>43957</v>
      </c>
      <c r="B129" s="6" t="s">
        <v>14</v>
      </c>
      <c r="C129" s="6">
        <v>277512</v>
      </c>
      <c r="D129" s="27">
        <v>28770810.105599999</v>
      </c>
      <c r="E129" s="5">
        <f>IFERROR(VLOOKUP(J129,Sheet2!C129:F632,2),0)</f>
        <v>0</v>
      </c>
      <c r="F129" s="5">
        <f>IFERROR(VLOOKUP(J129,Sheet2!C129:F632,3),0)</f>
        <v>0</v>
      </c>
      <c r="G129" s="5">
        <f>IFERROR(VLOOKUP(J129, Sheet2!C129:F632,4),0)</f>
        <v>0</v>
      </c>
      <c r="H129" s="12">
        <f t="shared" si="3"/>
        <v>0</v>
      </c>
      <c r="I129">
        <f t="shared" si="4"/>
        <v>19</v>
      </c>
      <c r="J129" t="str">
        <f t="shared" si="5"/>
        <v>2020-05-06Санкт-Петербург Юг</v>
      </c>
    </row>
    <row r="130" spans="1:10" ht="14.25" customHeight="1" x14ac:dyDescent="0.3">
      <c r="A130" s="14">
        <v>43974</v>
      </c>
      <c r="B130" s="4" t="s">
        <v>14</v>
      </c>
      <c r="C130" s="4">
        <v>356982</v>
      </c>
      <c r="D130" s="26">
        <v>35103926.711549997</v>
      </c>
      <c r="E130" s="5">
        <f>IFERROR(VLOOKUP(J130,Sheet2!C130:F633,2),0)</f>
        <v>129</v>
      </c>
      <c r="F130" s="5">
        <f>IFERROR(VLOOKUP(J130,Sheet2!C130:F633,3),0)</f>
        <v>19856</v>
      </c>
      <c r="G130" s="5">
        <f>IFERROR(VLOOKUP(J130, Sheet2!C130:F633,4),0)</f>
        <v>18325</v>
      </c>
      <c r="H130" s="12">
        <f t="shared" si="3"/>
        <v>272123.46288023255</v>
      </c>
      <c r="I130">
        <f t="shared" si="4"/>
        <v>21</v>
      </c>
      <c r="J130" t="str">
        <f t="shared" si="5"/>
        <v>2020-05-23Санкт-Петербург Юг</v>
      </c>
    </row>
    <row r="131" spans="1:10" ht="14.25" customHeight="1" x14ac:dyDescent="0.3">
      <c r="A131" s="15">
        <v>43976</v>
      </c>
      <c r="B131" s="6" t="s">
        <v>14</v>
      </c>
      <c r="C131" s="6">
        <v>266983.5</v>
      </c>
      <c r="D131" s="27">
        <v>27165913.5</v>
      </c>
      <c r="E131" s="5">
        <f>IFERROR(VLOOKUP(J131,Sheet2!C131:F634,2),0)</f>
        <v>129</v>
      </c>
      <c r="F131" s="5">
        <f>IFERROR(VLOOKUP(J131,Sheet2!C131:F634,3),0)</f>
        <v>15822</v>
      </c>
      <c r="G131" s="5">
        <f>IFERROR(VLOOKUP(J131, Sheet2!C131:F634,4),0)</f>
        <v>14753</v>
      </c>
      <c r="H131" s="12">
        <f t="shared" ref="H131:H194" si="6">IF(VALUE(E131)&gt;0, D131/VALUE(E131), 0)</f>
        <v>210588.47674418605</v>
      </c>
      <c r="I131">
        <f t="shared" ref="I131:I194" si="7">_xlfn.ISOWEEKNUM(A131)</f>
        <v>22</v>
      </c>
      <c r="J131" t="str">
        <f t="shared" ref="J131:J194" si="8">TEXT(A131,"yyyy-mm-dd") &amp; TRIM(B131)</f>
        <v>2020-05-25Санкт-Петербург Юг</v>
      </c>
    </row>
    <row r="132" spans="1:10" ht="14.25" customHeight="1" x14ac:dyDescent="0.3">
      <c r="A132" s="14">
        <v>43951</v>
      </c>
      <c r="B132" s="4" t="s">
        <v>14</v>
      </c>
      <c r="C132" s="4">
        <v>311131.5</v>
      </c>
      <c r="D132" s="26">
        <v>32418879</v>
      </c>
      <c r="E132" s="5">
        <f>IFERROR(VLOOKUP(J132,Sheet2!C132:F635,2),0)</f>
        <v>0</v>
      </c>
      <c r="F132" s="5">
        <f>IFERROR(VLOOKUP(J132,Sheet2!C132:F635,3),0)</f>
        <v>0</v>
      </c>
      <c r="G132" s="5">
        <f>IFERROR(VLOOKUP(J132, Sheet2!C132:F635,4),0)</f>
        <v>0</v>
      </c>
      <c r="H132" s="12">
        <f t="shared" si="6"/>
        <v>0</v>
      </c>
      <c r="I132">
        <f t="shared" si="7"/>
        <v>18</v>
      </c>
      <c r="J132" t="str">
        <f t="shared" si="8"/>
        <v>2020-04-30Санкт-Петербург Юг</v>
      </c>
    </row>
    <row r="133" spans="1:10" ht="14.25" customHeight="1" x14ac:dyDescent="0.3">
      <c r="A133" s="15">
        <v>43961</v>
      </c>
      <c r="B133" s="6" t="s">
        <v>14</v>
      </c>
      <c r="C133" s="6">
        <v>287206.5</v>
      </c>
      <c r="D133" s="27">
        <v>29536176.10605</v>
      </c>
      <c r="E133" s="5">
        <f>IFERROR(VLOOKUP(J133,Sheet2!C133:F636,2),0)</f>
        <v>129</v>
      </c>
      <c r="F133" s="5">
        <f>IFERROR(VLOOKUP(J133,Sheet2!C133:F636,3),0)</f>
        <v>16437</v>
      </c>
      <c r="G133" s="5">
        <f>IFERROR(VLOOKUP(J133, Sheet2!C133:F636,4),0)</f>
        <v>15285</v>
      </c>
      <c r="H133" s="12">
        <f t="shared" si="6"/>
        <v>228962.6054732558</v>
      </c>
      <c r="I133">
        <f t="shared" si="7"/>
        <v>19</v>
      </c>
      <c r="J133" t="str">
        <f t="shared" si="8"/>
        <v>2020-05-10Санкт-Петербург Юг</v>
      </c>
    </row>
    <row r="134" spans="1:10" ht="14.25" customHeight="1" x14ac:dyDescent="0.3">
      <c r="A134" s="14">
        <v>43959</v>
      </c>
      <c r="B134" s="4" t="s">
        <v>14</v>
      </c>
      <c r="C134" s="4">
        <v>370092</v>
      </c>
      <c r="D134" s="26">
        <v>38091556.5</v>
      </c>
      <c r="E134" s="5">
        <f>IFERROR(VLOOKUP(J134,Sheet2!C134:F637,2),0)</f>
        <v>129</v>
      </c>
      <c r="F134" s="5">
        <f>IFERROR(VLOOKUP(J134,Sheet2!C134:F637,3),0)</f>
        <v>20452</v>
      </c>
      <c r="G134" s="5">
        <f>IFERROR(VLOOKUP(J134, Sheet2!C134:F637,4),0)</f>
        <v>18857</v>
      </c>
      <c r="H134" s="12">
        <f t="shared" si="6"/>
        <v>295283.38372093026</v>
      </c>
      <c r="I134">
        <f t="shared" si="7"/>
        <v>19</v>
      </c>
      <c r="J134" t="str">
        <f t="shared" si="8"/>
        <v>2020-05-08Санкт-Петербург Юг</v>
      </c>
    </row>
    <row r="135" spans="1:10" ht="14.25" customHeight="1" x14ac:dyDescent="0.3">
      <c r="A135" s="15">
        <v>43958</v>
      </c>
      <c r="B135" s="6" t="s">
        <v>14</v>
      </c>
      <c r="C135" s="6">
        <v>247813.5</v>
      </c>
      <c r="D135" s="27">
        <v>25325271</v>
      </c>
      <c r="E135" s="5">
        <f>IFERROR(VLOOKUP(J135,Sheet2!C135:F638,2),0)</f>
        <v>129</v>
      </c>
      <c r="F135" s="5">
        <f>IFERROR(VLOOKUP(J135,Sheet2!C135:F638,3),0)</f>
        <v>14582</v>
      </c>
      <c r="G135" s="5">
        <f>IFERROR(VLOOKUP(J135, Sheet2!C135:F638,4),0)</f>
        <v>13512</v>
      </c>
      <c r="H135" s="12">
        <f t="shared" si="6"/>
        <v>196319.93023255814</v>
      </c>
      <c r="I135">
        <f t="shared" si="7"/>
        <v>19</v>
      </c>
      <c r="J135" t="str">
        <f t="shared" si="8"/>
        <v>2020-05-07Санкт-Петербург Юг</v>
      </c>
    </row>
    <row r="136" spans="1:10" ht="14.25" customHeight="1" x14ac:dyDescent="0.3">
      <c r="A136" s="14">
        <v>43975</v>
      </c>
      <c r="B136" s="4" t="s">
        <v>14</v>
      </c>
      <c r="C136" s="4">
        <v>287740.5</v>
      </c>
      <c r="D136" s="26">
        <v>28188534</v>
      </c>
      <c r="E136" s="5">
        <f>IFERROR(VLOOKUP(J136,Sheet2!C136:F639,2),0)</f>
        <v>129</v>
      </c>
      <c r="F136" s="5">
        <f>IFERROR(VLOOKUP(J136,Sheet2!C136:F639,3),0)</f>
        <v>16432</v>
      </c>
      <c r="G136" s="5">
        <f>IFERROR(VLOOKUP(J136, Sheet2!C136:F639,4),0)</f>
        <v>15345</v>
      </c>
      <c r="H136" s="12">
        <f t="shared" si="6"/>
        <v>218515.76744186046</v>
      </c>
      <c r="I136">
        <f t="shared" si="7"/>
        <v>21</v>
      </c>
      <c r="J136" t="str">
        <f t="shared" si="8"/>
        <v>2020-05-24Санкт-Петербург Юг</v>
      </c>
    </row>
    <row r="137" spans="1:10" ht="14.25" customHeight="1" x14ac:dyDescent="0.3">
      <c r="A137" s="15">
        <v>43967</v>
      </c>
      <c r="B137" s="6" t="s">
        <v>15</v>
      </c>
      <c r="C137" s="6">
        <v>408810</v>
      </c>
      <c r="D137" s="27">
        <v>42323631</v>
      </c>
      <c r="E137" s="5">
        <f>IFERROR(VLOOKUP(J137,Sheet2!C137:F640,2),0)</f>
        <v>125</v>
      </c>
      <c r="F137" s="5">
        <f>IFERROR(VLOOKUP(J137,Sheet2!C137:F640,3),0)</f>
        <v>22291</v>
      </c>
      <c r="G137" s="5">
        <f>IFERROR(VLOOKUP(J137, Sheet2!C137:F640,4),0)</f>
        <v>20635</v>
      </c>
      <c r="H137" s="12">
        <f t="shared" si="6"/>
        <v>338589.04800000001</v>
      </c>
      <c r="I137">
        <f t="shared" si="7"/>
        <v>20</v>
      </c>
      <c r="J137" t="str">
        <f t="shared" si="8"/>
        <v>2020-05-16Санкт-Петербург Север</v>
      </c>
    </row>
    <row r="138" spans="1:10" ht="14.25" customHeight="1" x14ac:dyDescent="0.3">
      <c r="A138" s="14">
        <v>43970</v>
      </c>
      <c r="B138" s="4" t="s">
        <v>15</v>
      </c>
      <c r="C138" s="4">
        <v>362536.5</v>
      </c>
      <c r="D138" s="26">
        <v>37023243</v>
      </c>
      <c r="E138" s="5">
        <f>IFERROR(VLOOKUP(J138,Sheet2!C138:F641,2),0)</f>
        <v>125</v>
      </c>
      <c r="F138" s="5">
        <f>IFERROR(VLOOKUP(J138,Sheet2!C138:F641,3),0)</f>
        <v>20771</v>
      </c>
      <c r="G138" s="5">
        <f>IFERROR(VLOOKUP(J138, Sheet2!C138:F641,4),0)</f>
        <v>19338</v>
      </c>
      <c r="H138" s="12">
        <f t="shared" si="6"/>
        <v>296185.94400000002</v>
      </c>
      <c r="I138">
        <f t="shared" si="7"/>
        <v>21</v>
      </c>
      <c r="J138" t="str">
        <f t="shared" si="8"/>
        <v>2020-05-19Санкт-Петербург Север</v>
      </c>
    </row>
    <row r="139" spans="1:10" ht="14.25" customHeight="1" x14ac:dyDescent="0.3">
      <c r="A139" s="15">
        <v>43968</v>
      </c>
      <c r="B139" s="6" t="s">
        <v>15</v>
      </c>
      <c r="C139" s="6">
        <v>357072</v>
      </c>
      <c r="D139" s="27">
        <v>36834567</v>
      </c>
      <c r="E139" s="5">
        <f>IFERROR(VLOOKUP(J139,Sheet2!C139:F642,2),0)</f>
        <v>125</v>
      </c>
      <c r="F139" s="5">
        <f>IFERROR(VLOOKUP(J139,Sheet2!C139:F642,3),0)</f>
        <v>20079</v>
      </c>
      <c r="G139" s="5">
        <f>IFERROR(VLOOKUP(J139, Sheet2!C139:F642,4),0)</f>
        <v>18721</v>
      </c>
      <c r="H139" s="12">
        <f t="shared" si="6"/>
        <v>294676.53600000002</v>
      </c>
      <c r="I139">
        <f t="shared" si="7"/>
        <v>20</v>
      </c>
      <c r="J139" t="str">
        <f t="shared" si="8"/>
        <v>2020-05-17Санкт-Петербург Север</v>
      </c>
    </row>
    <row r="140" spans="1:10" ht="14.25" customHeight="1" x14ac:dyDescent="0.3">
      <c r="A140" s="14">
        <v>43960</v>
      </c>
      <c r="B140" s="4" t="s">
        <v>15</v>
      </c>
      <c r="C140" s="4">
        <v>359214</v>
      </c>
      <c r="D140" s="26">
        <v>38693427</v>
      </c>
      <c r="E140" s="5">
        <f>IFERROR(VLOOKUP(J140,Sheet2!C140:F643,2),0)</f>
        <v>125</v>
      </c>
      <c r="F140" s="5">
        <f>IFERROR(VLOOKUP(J140,Sheet2!C140:F643,3),0)</f>
        <v>20132</v>
      </c>
      <c r="G140" s="5">
        <f>IFERROR(VLOOKUP(J140, Sheet2!C140:F643,4),0)</f>
        <v>18617</v>
      </c>
      <c r="H140" s="12">
        <f t="shared" si="6"/>
        <v>309547.41600000003</v>
      </c>
      <c r="I140">
        <f t="shared" si="7"/>
        <v>19</v>
      </c>
      <c r="J140" t="str">
        <f t="shared" si="8"/>
        <v>2020-05-09Санкт-Петербург Север</v>
      </c>
    </row>
    <row r="141" spans="1:10" ht="14.25" customHeight="1" x14ac:dyDescent="0.3">
      <c r="A141" s="15">
        <v>43955</v>
      </c>
      <c r="B141" s="6" t="s">
        <v>15</v>
      </c>
      <c r="C141" s="6">
        <v>360255</v>
      </c>
      <c r="D141" s="27">
        <v>38406954</v>
      </c>
      <c r="E141" s="5">
        <f>IFERROR(VLOOKUP(J141,Sheet2!C141:F644,2),0)</f>
        <v>0</v>
      </c>
      <c r="F141" s="5">
        <f>IFERROR(VLOOKUP(J141,Sheet2!C141:F644,3),0)</f>
        <v>0</v>
      </c>
      <c r="G141" s="5">
        <f>IFERROR(VLOOKUP(J141, Sheet2!C141:F644,4),0)</f>
        <v>0</v>
      </c>
      <c r="H141" s="12">
        <f t="shared" si="6"/>
        <v>0</v>
      </c>
      <c r="I141">
        <f t="shared" si="7"/>
        <v>19</v>
      </c>
      <c r="J141" t="str">
        <f t="shared" si="8"/>
        <v>2020-05-04Санкт-Петербург Север</v>
      </c>
    </row>
    <row r="142" spans="1:10" ht="14.25" customHeight="1" x14ac:dyDescent="0.3">
      <c r="A142" s="14">
        <v>43950</v>
      </c>
      <c r="B142" s="4" t="s">
        <v>15</v>
      </c>
      <c r="C142" s="4">
        <v>387220.5</v>
      </c>
      <c r="D142" s="26">
        <v>41559384</v>
      </c>
      <c r="E142" s="5">
        <f>IFERROR(VLOOKUP(J142,Sheet2!C142:F645,2),0)</f>
        <v>0</v>
      </c>
      <c r="F142" s="5">
        <f>IFERROR(VLOOKUP(J142,Sheet2!C142:F645,3),0)</f>
        <v>0</v>
      </c>
      <c r="G142" s="5">
        <f>IFERROR(VLOOKUP(J142, Sheet2!C142:F645,4),0)</f>
        <v>0</v>
      </c>
      <c r="H142" s="12">
        <f t="shared" si="6"/>
        <v>0</v>
      </c>
      <c r="I142">
        <f t="shared" si="7"/>
        <v>18</v>
      </c>
      <c r="J142" t="str">
        <f t="shared" si="8"/>
        <v>2020-04-29Санкт-Петербург Север</v>
      </c>
    </row>
    <row r="143" spans="1:10" ht="14.25" customHeight="1" x14ac:dyDescent="0.3">
      <c r="A143" s="15">
        <v>43953</v>
      </c>
      <c r="B143" s="6" t="s">
        <v>15</v>
      </c>
      <c r="C143" s="6">
        <v>296580</v>
      </c>
      <c r="D143" s="27">
        <v>31843737</v>
      </c>
      <c r="E143" s="5">
        <f>IFERROR(VLOOKUP(J143,Sheet2!C143:F646,2),0)</f>
        <v>0</v>
      </c>
      <c r="F143" s="5">
        <f>IFERROR(VLOOKUP(J143,Sheet2!C143:F646,3),0)</f>
        <v>0</v>
      </c>
      <c r="G143" s="5">
        <f>IFERROR(VLOOKUP(J143, Sheet2!C143:F646,4),0)</f>
        <v>0</v>
      </c>
      <c r="H143" s="12">
        <f t="shared" si="6"/>
        <v>0</v>
      </c>
      <c r="I143">
        <f t="shared" si="7"/>
        <v>18</v>
      </c>
      <c r="J143" t="str">
        <f t="shared" si="8"/>
        <v>2020-05-02Санкт-Петербург Север</v>
      </c>
    </row>
    <row r="144" spans="1:10" ht="14.25" customHeight="1" x14ac:dyDescent="0.3">
      <c r="A144" s="14">
        <v>43977</v>
      </c>
      <c r="B144" s="4" t="s">
        <v>15</v>
      </c>
      <c r="C144" s="4">
        <v>369861</v>
      </c>
      <c r="D144" s="26">
        <v>38365960.5</v>
      </c>
      <c r="E144" s="5">
        <f>IFERROR(VLOOKUP(J144,Sheet2!C144:F647,2),0)</f>
        <v>124</v>
      </c>
      <c r="F144" s="5">
        <f>IFERROR(VLOOKUP(J144,Sheet2!C144:F647,3),0)</f>
        <v>21153</v>
      </c>
      <c r="G144" s="5">
        <f>IFERROR(VLOOKUP(J144, Sheet2!C144:F647,4),0)</f>
        <v>19673</v>
      </c>
      <c r="H144" s="12">
        <f t="shared" si="6"/>
        <v>309402.90725806454</v>
      </c>
      <c r="I144">
        <f t="shared" si="7"/>
        <v>22</v>
      </c>
      <c r="J144" t="str">
        <f t="shared" si="8"/>
        <v>2020-05-26Санкт-Петербург Север</v>
      </c>
    </row>
    <row r="145" spans="1:10" ht="14.25" customHeight="1" x14ac:dyDescent="0.3">
      <c r="A145" s="15">
        <v>43952</v>
      </c>
      <c r="B145" s="6" t="s">
        <v>15</v>
      </c>
      <c r="C145" s="6">
        <v>372504</v>
      </c>
      <c r="D145" s="27">
        <v>40077193.5</v>
      </c>
      <c r="E145" s="5">
        <f>IFERROR(VLOOKUP(J145,Sheet2!C145:F648,2),0)</f>
        <v>0</v>
      </c>
      <c r="F145" s="5">
        <f>IFERROR(VLOOKUP(J145,Sheet2!C145:F648,3),0)</f>
        <v>0</v>
      </c>
      <c r="G145" s="5">
        <f>IFERROR(VLOOKUP(J145, Sheet2!C145:F648,4),0)</f>
        <v>0</v>
      </c>
      <c r="H145" s="12">
        <f t="shared" si="6"/>
        <v>0</v>
      </c>
      <c r="I145">
        <f t="shared" si="7"/>
        <v>18</v>
      </c>
      <c r="J145" t="str">
        <f t="shared" si="8"/>
        <v>2020-05-01Санкт-Петербург Север</v>
      </c>
    </row>
    <row r="146" spans="1:10" ht="14.25" customHeight="1" x14ac:dyDescent="0.3">
      <c r="A146" s="14">
        <v>43963</v>
      </c>
      <c r="B146" s="4" t="s">
        <v>15</v>
      </c>
      <c r="C146" s="4">
        <v>373392</v>
      </c>
      <c r="D146" s="26">
        <v>39578577</v>
      </c>
      <c r="E146" s="5">
        <f>IFERROR(VLOOKUP(J146,Sheet2!C146:F649,2),0)</f>
        <v>125</v>
      </c>
      <c r="F146" s="5">
        <f>IFERROR(VLOOKUP(J146,Sheet2!C146:F649,3),0)</f>
        <v>21106</v>
      </c>
      <c r="G146" s="5">
        <f>IFERROR(VLOOKUP(J146, Sheet2!C146:F649,4),0)</f>
        <v>19651</v>
      </c>
      <c r="H146" s="12">
        <f t="shared" si="6"/>
        <v>316628.61599999998</v>
      </c>
      <c r="I146">
        <f t="shared" si="7"/>
        <v>20</v>
      </c>
      <c r="J146" t="str">
        <f t="shared" si="8"/>
        <v>2020-05-12Санкт-Петербург Север</v>
      </c>
    </row>
    <row r="147" spans="1:10" ht="14.25" customHeight="1" x14ac:dyDescent="0.3">
      <c r="A147" s="15">
        <v>43972</v>
      </c>
      <c r="B147" s="6" t="s">
        <v>15</v>
      </c>
      <c r="C147" s="6">
        <v>378043.5</v>
      </c>
      <c r="D147" s="27">
        <v>37902156.57</v>
      </c>
      <c r="E147" s="5">
        <f>IFERROR(VLOOKUP(J147,Sheet2!C147:F650,2),0)</f>
        <v>125</v>
      </c>
      <c r="F147" s="5">
        <f>IFERROR(VLOOKUP(J147,Sheet2!C147:F650,3),0)</f>
        <v>20911</v>
      </c>
      <c r="G147" s="5">
        <f>IFERROR(VLOOKUP(J147, Sheet2!C147:F650,4),0)</f>
        <v>19358</v>
      </c>
      <c r="H147" s="12">
        <f t="shared" si="6"/>
        <v>303217.25255999999</v>
      </c>
      <c r="I147">
        <f t="shared" si="7"/>
        <v>21</v>
      </c>
      <c r="J147" t="str">
        <f t="shared" si="8"/>
        <v>2020-05-21Санкт-Петербург Север</v>
      </c>
    </row>
    <row r="148" spans="1:10" ht="14.25" customHeight="1" x14ac:dyDescent="0.3">
      <c r="A148" s="14">
        <v>43971</v>
      </c>
      <c r="B148" s="4" t="s">
        <v>15</v>
      </c>
      <c r="C148" s="4">
        <v>388668</v>
      </c>
      <c r="D148" s="26">
        <v>39639309</v>
      </c>
      <c r="E148" s="5">
        <f>IFERROR(VLOOKUP(J148,Sheet2!C148:F651,2),0)</f>
        <v>125</v>
      </c>
      <c r="F148" s="5">
        <f>IFERROR(VLOOKUP(J148,Sheet2!C148:F651,3),0)</f>
        <v>21674</v>
      </c>
      <c r="G148" s="5">
        <f>IFERROR(VLOOKUP(J148, Sheet2!C148:F651,4),0)</f>
        <v>20155</v>
      </c>
      <c r="H148" s="12">
        <f t="shared" si="6"/>
        <v>317114.47200000001</v>
      </c>
      <c r="I148">
        <f t="shared" si="7"/>
        <v>21</v>
      </c>
      <c r="J148" t="str">
        <f t="shared" si="8"/>
        <v>2020-05-20Санкт-Петербург Север</v>
      </c>
    </row>
    <row r="149" spans="1:10" ht="14.25" customHeight="1" x14ac:dyDescent="0.3">
      <c r="A149" s="15">
        <v>43956</v>
      </c>
      <c r="B149" s="6" t="s">
        <v>15</v>
      </c>
      <c r="C149" s="6">
        <v>333792</v>
      </c>
      <c r="D149" s="27">
        <v>35671734</v>
      </c>
      <c r="E149" s="5">
        <f>IFERROR(VLOOKUP(J149,Sheet2!C149:F652,2),0)</f>
        <v>0</v>
      </c>
      <c r="F149" s="5">
        <f>IFERROR(VLOOKUP(J149,Sheet2!C149:F652,3),0)</f>
        <v>0</v>
      </c>
      <c r="G149" s="5">
        <f>IFERROR(VLOOKUP(J149, Sheet2!C149:F652,4),0)</f>
        <v>0</v>
      </c>
      <c r="H149" s="12">
        <f t="shared" si="6"/>
        <v>0</v>
      </c>
      <c r="I149">
        <f t="shared" si="7"/>
        <v>19</v>
      </c>
      <c r="J149" t="str">
        <f t="shared" si="8"/>
        <v>2020-05-05Санкт-Петербург Север</v>
      </c>
    </row>
    <row r="150" spans="1:10" ht="14.25" customHeight="1" x14ac:dyDescent="0.3">
      <c r="A150" s="14">
        <v>43949</v>
      </c>
      <c r="B150" s="4" t="s">
        <v>15</v>
      </c>
      <c r="C150" s="4">
        <v>376060.5</v>
      </c>
      <c r="D150" s="26">
        <v>39918028.5</v>
      </c>
      <c r="E150" s="5">
        <f>IFERROR(VLOOKUP(J150,Sheet2!C150:F653,2),0)</f>
        <v>0</v>
      </c>
      <c r="F150" s="5">
        <f>IFERROR(VLOOKUP(J150,Sheet2!C150:F653,3),0)</f>
        <v>0</v>
      </c>
      <c r="G150" s="5">
        <f>IFERROR(VLOOKUP(J150, Sheet2!C150:F653,4),0)</f>
        <v>0</v>
      </c>
      <c r="H150" s="12">
        <f t="shared" si="6"/>
        <v>0</v>
      </c>
      <c r="I150">
        <f t="shared" si="7"/>
        <v>18</v>
      </c>
      <c r="J150" t="str">
        <f t="shared" si="8"/>
        <v>2020-04-28Санкт-Петербург Север</v>
      </c>
    </row>
    <row r="151" spans="1:10" ht="14.25" customHeight="1" x14ac:dyDescent="0.3">
      <c r="A151" s="15">
        <v>43964</v>
      </c>
      <c r="B151" s="6" t="s">
        <v>15</v>
      </c>
      <c r="C151" s="6">
        <v>350068.5</v>
      </c>
      <c r="D151" s="27">
        <v>37197115.5</v>
      </c>
      <c r="E151" s="5">
        <f>IFERROR(VLOOKUP(J151,Sheet2!C151:F654,2),0)</f>
        <v>125</v>
      </c>
      <c r="F151" s="5">
        <f>IFERROR(VLOOKUP(J151,Sheet2!C151:F654,3),0)</f>
        <v>19965</v>
      </c>
      <c r="G151" s="5">
        <f>IFERROR(VLOOKUP(J151, Sheet2!C151:F654,4),0)</f>
        <v>18573</v>
      </c>
      <c r="H151" s="12">
        <f t="shared" si="6"/>
        <v>297576.924</v>
      </c>
      <c r="I151">
        <f t="shared" si="7"/>
        <v>20</v>
      </c>
      <c r="J151" t="str">
        <f t="shared" si="8"/>
        <v>2020-05-13Санкт-Петербург Север</v>
      </c>
    </row>
    <row r="152" spans="1:10" ht="14.25" customHeight="1" x14ac:dyDescent="0.3">
      <c r="A152" s="14">
        <v>43982</v>
      </c>
      <c r="B152" s="4" t="s">
        <v>14</v>
      </c>
      <c r="C152" s="4">
        <v>294337.5</v>
      </c>
      <c r="D152" s="26">
        <v>29327766</v>
      </c>
      <c r="E152" s="5">
        <f>IFERROR(VLOOKUP(J152,Sheet2!C152:F655,2),0)</f>
        <v>129</v>
      </c>
      <c r="F152" s="5">
        <f>IFERROR(VLOOKUP(J152,Sheet2!C152:F655,3),0)</f>
        <v>17235</v>
      </c>
      <c r="G152" s="5">
        <f>IFERROR(VLOOKUP(J152, Sheet2!C152:F655,4),0)</f>
        <v>16052</v>
      </c>
      <c r="H152" s="12">
        <f t="shared" si="6"/>
        <v>227347.02325581395</v>
      </c>
      <c r="I152">
        <f t="shared" si="7"/>
        <v>22</v>
      </c>
      <c r="J152" t="str">
        <f t="shared" si="8"/>
        <v>2020-05-31Санкт-Петербург Юг</v>
      </c>
    </row>
    <row r="153" spans="1:10" ht="14.25" customHeight="1" x14ac:dyDescent="0.3">
      <c r="A153" s="15">
        <v>43954</v>
      </c>
      <c r="B153" s="6" t="s">
        <v>15</v>
      </c>
      <c r="C153" s="6">
        <v>342666</v>
      </c>
      <c r="D153" s="27">
        <v>36631999.5</v>
      </c>
      <c r="E153" s="5">
        <f>IFERROR(VLOOKUP(J153,Sheet2!C153:F656,2),0)</f>
        <v>0</v>
      </c>
      <c r="F153" s="5">
        <f>IFERROR(VLOOKUP(J153,Sheet2!C153:F656,3),0)</f>
        <v>0</v>
      </c>
      <c r="G153" s="5">
        <f>IFERROR(VLOOKUP(J153, Sheet2!C153:F656,4),0)</f>
        <v>0</v>
      </c>
      <c r="H153" s="12">
        <f t="shared" si="6"/>
        <v>0</v>
      </c>
      <c r="I153">
        <f t="shared" si="7"/>
        <v>18</v>
      </c>
      <c r="J153" t="str">
        <f t="shared" si="8"/>
        <v>2020-05-03Санкт-Петербург Север</v>
      </c>
    </row>
    <row r="154" spans="1:10" ht="14.25" customHeight="1" x14ac:dyDescent="0.3">
      <c r="A154" s="14">
        <v>43981</v>
      </c>
      <c r="B154" s="4" t="s">
        <v>14</v>
      </c>
      <c r="C154" s="4">
        <v>364882.5</v>
      </c>
      <c r="D154" s="26">
        <v>35724493.5</v>
      </c>
      <c r="E154" s="5">
        <f>IFERROR(VLOOKUP(J154,Sheet2!C154:F657,2),0)</f>
        <v>129</v>
      </c>
      <c r="F154" s="5">
        <f>IFERROR(VLOOKUP(J154,Sheet2!C154:F657,3),0)</f>
        <v>20243</v>
      </c>
      <c r="G154" s="5">
        <f>IFERROR(VLOOKUP(J154, Sheet2!C154:F657,4),0)</f>
        <v>18711</v>
      </c>
      <c r="H154" s="12">
        <f t="shared" si="6"/>
        <v>276934.0581395349</v>
      </c>
      <c r="I154">
        <f t="shared" si="7"/>
        <v>22</v>
      </c>
      <c r="J154" t="str">
        <f t="shared" si="8"/>
        <v>2020-05-30Санкт-Петербург Юг</v>
      </c>
    </row>
    <row r="155" spans="1:10" ht="14.25" customHeight="1" x14ac:dyDescent="0.3">
      <c r="A155" s="15">
        <v>43957</v>
      </c>
      <c r="B155" s="6" t="s">
        <v>15</v>
      </c>
      <c r="C155" s="6">
        <v>355278</v>
      </c>
      <c r="D155" s="27">
        <v>38092344</v>
      </c>
      <c r="E155" s="5">
        <f>IFERROR(VLOOKUP(J155,Sheet2!C155:F658,2),0)</f>
        <v>0</v>
      </c>
      <c r="F155" s="5">
        <f>IFERROR(VLOOKUP(J155,Sheet2!C155:F658,3),0)</f>
        <v>0</v>
      </c>
      <c r="G155" s="5">
        <f>IFERROR(VLOOKUP(J155, Sheet2!C155:F658,4),0)</f>
        <v>0</v>
      </c>
      <c r="H155" s="12">
        <f t="shared" si="6"/>
        <v>0</v>
      </c>
      <c r="I155">
        <f t="shared" si="7"/>
        <v>19</v>
      </c>
      <c r="J155" t="str">
        <f t="shared" si="8"/>
        <v>2020-05-06Санкт-Петербург Север</v>
      </c>
    </row>
    <row r="156" spans="1:10" ht="14.25" customHeight="1" x14ac:dyDescent="0.3">
      <c r="A156" s="14">
        <v>43974</v>
      </c>
      <c r="B156" s="4" t="s">
        <v>15</v>
      </c>
      <c r="C156" s="4">
        <v>456885</v>
      </c>
      <c r="D156" s="26">
        <v>46408080</v>
      </c>
      <c r="E156" s="5">
        <f>IFERROR(VLOOKUP(J156,Sheet2!C156:F659,2),0)</f>
        <v>125</v>
      </c>
      <c r="F156" s="5">
        <f>IFERROR(VLOOKUP(J156,Sheet2!C156:F659,3),0)</f>
        <v>24574</v>
      </c>
      <c r="G156" s="5">
        <f>IFERROR(VLOOKUP(J156, Sheet2!C156:F659,4),0)</f>
        <v>22609</v>
      </c>
      <c r="H156" s="12">
        <f t="shared" si="6"/>
        <v>371264.64</v>
      </c>
      <c r="I156">
        <f t="shared" si="7"/>
        <v>21</v>
      </c>
      <c r="J156" t="str">
        <f t="shared" si="8"/>
        <v>2020-05-23Санкт-Петербург Север</v>
      </c>
    </row>
    <row r="157" spans="1:10" ht="14.25" customHeight="1" x14ac:dyDescent="0.3">
      <c r="A157" s="15">
        <v>43979</v>
      </c>
      <c r="B157" s="6" t="s">
        <v>14</v>
      </c>
      <c r="C157" s="6">
        <v>278491.5</v>
      </c>
      <c r="D157" s="27">
        <v>28151004.75</v>
      </c>
      <c r="E157" s="5">
        <f>IFERROR(VLOOKUP(J157,Sheet2!C157:F660,2),0)</f>
        <v>129</v>
      </c>
      <c r="F157" s="5">
        <f>IFERROR(VLOOKUP(J157,Sheet2!C157:F660,3),0)</f>
        <v>16453</v>
      </c>
      <c r="G157" s="5">
        <f>IFERROR(VLOOKUP(J157, Sheet2!C157:F660,4),0)</f>
        <v>15289</v>
      </c>
      <c r="H157" s="12">
        <f t="shared" si="6"/>
        <v>218224.84302325582</v>
      </c>
      <c r="I157">
        <f t="shared" si="7"/>
        <v>22</v>
      </c>
      <c r="J157" t="str">
        <f t="shared" si="8"/>
        <v>2020-05-28Санкт-Петербург Юг</v>
      </c>
    </row>
    <row r="158" spans="1:10" ht="14.25" customHeight="1" x14ac:dyDescent="0.3">
      <c r="A158" s="14">
        <v>43976</v>
      </c>
      <c r="B158" s="4" t="s">
        <v>15</v>
      </c>
      <c r="C158" s="4">
        <v>349734</v>
      </c>
      <c r="D158" s="26">
        <v>36883428</v>
      </c>
      <c r="E158" s="5">
        <f>IFERROR(VLOOKUP(J158,Sheet2!C158:F661,2),0)</f>
        <v>124</v>
      </c>
      <c r="F158" s="5">
        <f>IFERROR(VLOOKUP(J158,Sheet2!C158:F661,3),0)</f>
        <v>20358</v>
      </c>
      <c r="G158" s="5">
        <f>IFERROR(VLOOKUP(J158, Sheet2!C158:F661,4),0)</f>
        <v>18890</v>
      </c>
      <c r="H158" s="12">
        <f t="shared" si="6"/>
        <v>297447</v>
      </c>
      <c r="I158">
        <f t="shared" si="7"/>
        <v>22</v>
      </c>
      <c r="J158" t="str">
        <f t="shared" si="8"/>
        <v>2020-05-25Санкт-Петербург Север</v>
      </c>
    </row>
    <row r="159" spans="1:10" ht="14.25" customHeight="1" x14ac:dyDescent="0.3">
      <c r="A159" s="15">
        <v>43951</v>
      </c>
      <c r="B159" s="6" t="s">
        <v>15</v>
      </c>
      <c r="C159" s="6">
        <v>401580</v>
      </c>
      <c r="D159" s="27">
        <v>43028734.5</v>
      </c>
      <c r="E159" s="5">
        <f>IFERROR(VLOOKUP(J159,Sheet2!C159:F662,2),0)</f>
        <v>0</v>
      </c>
      <c r="F159" s="5">
        <f>IFERROR(VLOOKUP(J159,Sheet2!C159:F662,3),0)</f>
        <v>0</v>
      </c>
      <c r="G159" s="5">
        <f>IFERROR(VLOOKUP(J159, Sheet2!C159:F662,4),0)</f>
        <v>0</v>
      </c>
      <c r="H159" s="12">
        <f t="shared" si="6"/>
        <v>0</v>
      </c>
      <c r="I159">
        <f t="shared" si="7"/>
        <v>18</v>
      </c>
      <c r="J159" t="str">
        <f t="shared" si="8"/>
        <v>2020-04-30Санкт-Петербург Север</v>
      </c>
    </row>
    <row r="160" spans="1:10" ht="14.25" customHeight="1" x14ac:dyDescent="0.3">
      <c r="A160" s="14">
        <v>43961</v>
      </c>
      <c r="B160" s="4" t="s">
        <v>15</v>
      </c>
      <c r="C160" s="4">
        <v>368649</v>
      </c>
      <c r="D160" s="26">
        <v>39010875</v>
      </c>
      <c r="E160" s="5">
        <f>IFERROR(VLOOKUP(J160,Sheet2!C160:F663,2),0)</f>
        <v>125</v>
      </c>
      <c r="F160" s="5">
        <f>IFERROR(VLOOKUP(J160,Sheet2!C160:F663,3),0)</f>
        <v>20368</v>
      </c>
      <c r="G160" s="5">
        <f>IFERROR(VLOOKUP(J160, Sheet2!C160:F663,4),0)</f>
        <v>18884</v>
      </c>
      <c r="H160" s="12">
        <f t="shared" si="6"/>
        <v>312087</v>
      </c>
      <c r="I160">
        <f t="shared" si="7"/>
        <v>19</v>
      </c>
      <c r="J160" t="str">
        <f t="shared" si="8"/>
        <v>2020-05-10Санкт-Петербург Север</v>
      </c>
    </row>
    <row r="161" spans="1:10" ht="14.25" customHeight="1" x14ac:dyDescent="0.3">
      <c r="A161" s="15">
        <v>43959</v>
      </c>
      <c r="B161" s="6" t="s">
        <v>15</v>
      </c>
      <c r="C161" s="6">
        <v>463530</v>
      </c>
      <c r="D161" s="27">
        <v>49123180.5</v>
      </c>
      <c r="E161" s="5">
        <f>IFERROR(VLOOKUP(J161,Sheet2!C161:F664,2),0)</f>
        <v>0</v>
      </c>
      <c r="F161" s="5">
        <f>IFERROR(VLOOKUP(J161,Sheet2!C161:F664,3),0)</f>
        <v>0</v>
      </c>
      <c r="G161" s="5">
        <f>IFERROR(VLOOKUP(J161, Sheet2!C161:F664,4),0)</f>
        <v>0</v>
      </c>
      <c r="H161" s="12">
        <f t="shared" si="6"/>
        <v>0</v>
      </c>
      <c r="I161">
        <f t="shared" si="7"/>
        <v>19</v>
      </c>
      <c r="J161" t="str">
        <f t="shared" si="8"/>
        <v>2020-05-08Санкт-Петербург Север</v>
      </c>
    </row>
    <row r="162" spans="1:10" ht="14.25" customHeight="1" x14ac:dyDescent="0.3">
      <c r="A162" s="14">
        <v>43958</v>
      </c>
      <c r="B162" s="4" t="s">
        <v>15</v>
      </c>
      <c r="C162" s="4">
        <v>319110</v>
      </c>
      <c r="D162" s="26">
        <v>33763989</v>
      </c>
      <c r="E162" s="5">
        <f>IFERROR(VLOOKUP(J162,Sheet2!C162:F665,2),0)</f>
        <v>0</v>
      </c>
      <c r="F162" s="5">
        <f>IFERROR(VLOOKUP(J162,Sheet2!C162:F665,3),0)</f>
        <v>0</v>
      </c>
      <c r="G162" s="5">
        <f>IFERROR(VLOOKUP(J162, Sheet2!C162:F665,4),0)</f>
        <v>0</v>
      </c>
      <c r="H162" s="12">
        <f t="shared" si="6"/>
        <v>0</v>
      </c>
      <c r="I162">
        <f t="shared" si="7"/>
        <v>19</v>
      </c>
      <c r="J162" t="str">
        <f t="shared" si="8"/>
        <v>2020-05-07Санкт-Петербург Север</v>
      </c>
    </row>
    <row r="163" spans="1:10" ht="14.25" customHeight="1" x14ac:dyDescent="0.3">
      <c r="A163" s="15">
        <v>43975</v>
      </c>
      <c r="B163" s="6" t="s">
        <v>15</v>
      </c>
      <c r="C163" s="6">
        <v>375744</v>
      </c>
      <c r="D163" s="27">
        <v>38191381.5</v>
      </c>
      <c r="E163" s="5">
        <f>IFERROR(VLOOKUP(J163,Sheet2!C163:F666,2),0)</f>
        <v>125</v>
      </c>
      <c r="F163" s="5">
        <f>IFERROR(VLOOKUP(J163,Sheet2!C163:F666,3),0)</f>
        <v>21004</v>
      </c>
      <c r="G163" s="5">
        <f>IFERROR(VLOOKUP(J163, Sheet2!C163:F666,4),0)</f>
        <v>19556</v>
      </c>
      <c r="H163" s="12">
        <f t="shared" si="6"/>
        <v>305531.05200000003</v>
      </c>
      <c r="I163">
        <f t="shared" si="7"/>
        <v>21</v>
      </c>
      <c r="J163" t="str">
        <f t="shared" si="8"/>
        <v>2020-05-24Санкт-Петербург Север</v>
      </c>
    </row>
    <row r="164" spans="1:10" ht="14.25" customHeight="1" x14ac:dyDescent="0.3">
      <c r="A164" s="14">
        <v>43967</v>
      </c>
      <c r="B164" s="4" t="s">
        <v>16</v>
      </c>
      <c r="C164" s="4">
        <v>81331.5</v>
      </c>
      <c r="D164" s="26">
        <v>6652179</v>
      </c>
      <c r="E164" s="5">
        <f>IFERROR(VLOOKUP(J164,Sheet2!C164:F667,2),0)</f>
        <v>36</v>
      </c>
      <c r="F164" s="5">
        <f>IFERROR(VLOOKUP(J164,Sheet2!C164:F667,3),0)</f>
        <v>5286</v>
      </c>
      <c r="G164" s="5">
        <f>IFERROR(VLOOKUP(J164, Sheet2!C164:F667,4),0)</f>
        <v>4867</v>
      </c>
      <c r="H164" s="12">
        <f t="shared" si="6"/>
        <v>184782.75</v>
      </c>
      <c r="I164">
        <f t="shared" si="7"/>
        <v>20</v>
      </c>
      <c r="J164" t="str">
        <f t="shared" si="8"/>
        <v>2020-05-16Волгоград</v>
      </c>
    </row>
    <row r="165" spans="1:10" ht="14.25" customHeight="1" x14ac:dyDescent="0.3">
      <c r="A165" s="15">
        <v>43970</v>
      </c>
      <c r="B165" s="6" t="s">
        <v>16</v>
      </c>
      <c r="C165" s="6">
        <v>75796.5</v>
      </c>
      <c r="D165" s="27">
        <v>6173463</v>
      </c>
      <c r="E165" s="5">
        <f>IFERROR(VLOOKUP(J165,Sheet2!C165:F668,2),0)</f>
        <v>36</v>
      </c>
      <c r="F165" s="5">
        <f>IFERROR(VLOOKUP(J165,Sheet2!C165:F668,3),0)</f>
        <v>5094</v>
      </c>
      <c r="G165" s="5">
        <f>IFERROR(VLOOKUP(J165, Sheet2!C165:F668,4),0)</f>
        <v>4716</v>
      </c>
      <c r="H165" s="12">
        <f t="shared" si="6"/>
        <v>171485.08333333334</v>
      </c>
      <c r="I165">
        <f t="shared" si="7"/>
        <v>21</v>
      </c>
      <c r="J165" t="str">
        <f t="shared" si="8"/>
        <v>2020-05-19Волгоград</v>
      </c>
    </row>
    <row r="166" spans="1:10" ht="14.25" customHeight="1" x14ac:dyDescent="0.3">
      <c r="A166" s="14">
        <v>43968</v>
      </c>
      <c r="B166" s="4" t="s">
        <v>16</v>
      </c>
      <c r="C166" s="4">
        <v>72861</v>
      </c>
      <c r="D166" s="26">
        <v>5952802.5</v>
      </c>
      <c r="E166" s="5">
        <f>IFERROR(VLOOKUP(J166,Sheet2!C166:F669,2),0)</f>
        <v>36</v>
      </c>
      <c r="F166" s="5">
        <f>IFERROR(VLOOKUP(J166,Sheet2!C166:F669,3),0)</f>
        <v>4918</v>
      </c>
      <c r="G166" s="5">
        <f>IFERROR(VLOOKUP(J166, Sheet2!C166:F669,4),0)</f>
        <v>4554</v>
      </c>
      <c r="H166" s="12">
        <f t="shared" si="6"/>
        <v>165355.625</v>
      </c>
      <c r="I166">
        <f t="shared" si="7"/>
        <v>20</v>
      </c>
      <c r="J166" t="str">
        <f t="shared" si="8"/>
        <v>2020-05-17Волгоград</v>
      </c>
    </row>
    <row r="167" spans="1:10" ht="14.25" customHeight="1" x14ac:dyDescent="0.3">
      <c r="A167" s="15">
        <v>43960</v>
      </c>
      <c r="B167" s="6" t="s">
        <v>16</v>
      </c>
      <c r="C167" s="6">
        <v>83373</v>
      </c>
      <c r="D167" s="27">
        <v>7253427</v>
      </c>
      <c r="E167" s="5">
        <f>IFERROR(VLOOKUP(J167,Sheet2!C167:F670,2),0)</f>
        <v>0</v>
      </c>
      <c r="F167" s="5">
        <f>IFERROR(VLOOKUP(J167,Sheet2!C167:F670,3),0)</f>
        <v>0</v>
      </c>
      <c r="G167" s="5">
        <f>IFERROR(VLOOKUP(J167, Sheet2!C167:F670,4),0)</f>
        <v>0</v>
      </c>
      <c r="H167" s="12">
        <f t="shared" si="6"/>
        <v>0</v>
      </c>
      <c r="I167">
        <f t="shared" si="7"/>
        <v>19</v>
      </c>
      <c r="J167" t="str">
        <f t="shared" si="8"/>
        <v>2020-05-09Волгоград</v>
      </c>
    </row>
    <row r="168" spans="1:10" ht="14.25" customHeight="1" x14ac:dyDescent="0.3">
      <c r="A168" s="14">
        <v>43955</v>
      </c>
      <c r="B168" s="4" t="s">
        <v>16</v>
      </c>
      <c r="C168" s="4">
        <v>64108.5</v>
      </c>
      <c r="D168" s="26">
        <v>5561452.5</v>
      </c>
      <c r="E168" s="5">
        <f>IFERROR(VLOOKUP(J168,Sheet2!C168:F671,2),0)</f>
        <v>0</v>
      </c>
      <c r="F168" s="5">
        <f>IFERROR(VLOOKUP(J168,Sheet2!C168:F671,3),0)</f>
        <v>0</v>
      </c>
      <c r="G168" s="5">
        <f>IFERROR(VLOOKUP(J168, Sheet2!C168:F671,4),0)</f>
        <v>0</v>
      </c>
      <c r="H168" s="12">
        <f t="shared" si="6"/>
        <v>0</v>
      </c>
      <c r="I168">
        <f t="shared" si="7"/>
        <v>19</v>
      </c>
      <c r="J168" t="str">
        <f t="shared" si="8"/>
        <v>2020-05-04Волгоград</v>
      </c>
    </row>
    <row r="169" spans="1:10" ht="14.25" customHeight="1" x14ac:dyDescent="0.3">
      <c r="A169" s="15">
        <v>43950</v>
      </c>
      <c r="B169" s="6" t="s">
        <v>16</v>
      </c>
      <c r="C169" s="6">
        <v>74707.5</v>
      </c>
      <c r="D169" s="27">
        <v>6454458</v>
      </c>
      <c r="E169" s="5">
        <f>IFERROR(VLOOKUP(J169,Sheet2!C169:F672,2),0)</f>
        <v>0</v>
      </c>
      <c r="F169" s="5">
        <f>IFERROR(VLOOKUP(J169,Sheet2!C169:F672,3),0)</f>
        <v>0</v>
      </c>
      <c r="G169" s="5">
        <f>IFERROR(VLOOKUP(J169, Sheet2!C169:F672,4),0)</f>
        <v>0</v>
      </c>
      <c r="H169" s="12">
        <f t="shared" si="6"/>
        <v>0</v>
      </c>
      <c r="I169">
        <f t="shared" si="7"/>
        <v>18</v>
      </c>
      <c r="J169" t="str">
        <f t="shared" si="8"/>
        <v>2020-04-29Волгоград</v>
      </c>
    </row>
    <row r="170" spans="1:10" ht="14.25" customHeight="1" x14ac:dyDescent="0.3">
      <c r="A170" s="14">
        <v>43953</v>
      </c>
      <c r="B170" s="4" t="s">
        <v>16</v>
      </c>
      <c r="C170" s="4">
        <v>46216.5</v>
      </c>
      <c r="D170" s="26">
        <v>4118251.5</v>
      </c>
      <c r="E170" s="5">
        <f>IFERROR(VLOOKUP(J170,Sheet2!C170:F673,2),0)</f>
        <v>0</v>
      </c>
      <c r="F170" s="5">
        <f>IFERROR(VLOOKUP(J170,Sheet2!C170:F673,3),0)</f>
        <v>0</v>
      </c>
      <c r="G170" s="5">
        <f>IFERROR(VLOOKUP(J170, Sheet2!C170:F673,4),0)</f>
        <v>0</v>
      </c>
      <c r="H170" s="12">
        <f t="shared" si="6"/>
        <v>0</v>
      </c>
      <c r="I170">
        <f t="shared" si="7"/>
        <v>18</v>
      </c>
      <c r="J170" t="str">
        <f t="shared" si="8"/>
        <v>2020-05-02Волгоград</v>
      </c>
    </row>
    <row r="171" spans="1:10" ht="14.25" customHeight="1" x14ac:dyDescent="0.3">
      <c r="A171" s="15">
        <v>43977</v>
      </c>
      <c r="B171" s="6" t="s">
        <v>16</v>
      </c>
      <c r="C171" s="6">
        <v>67726.5</v>
      </c>
      <c r="D171" s="27">
        <v>5864989.5</v>
      </c>
      <c r="E171" s="5">
        <f>IFERROR(VLOOKUP(J171,Sheet2!C171:F674,2),0)</f>
        <v>36</v>
      </c>
      <c r="F171" s="5">
        <f>IFERROR(VLOOKUP(J171,Sheet2!C171:F674,3),0)</f>
        <v>4770</v>
      </c>
      <c r="G171" s="5">
        <f>IFERROR(VLOOKUP(J171, Sheet2!C171:F674,4),0)</f>
        <v>4424</v>
      </c>
      <c r="H171" s="12">
        <f t="shared" si="6"/>
        <v>162916.375</v>
      </c>
      <c r="I171">
        <f t="shared" si="7"/>
        <v>22</v>
      </c>
      <c r="J171" t="str">
        <f t="shared" si="8"/>
        <v>2020-05-26Волгоград</v>
      </c>
    </row>
    <row r="172" spans="1:10" ht="14.25" customHeight="1" x14ac:dyDescent="0.3">
      <c r="A172" s="14">
        <v>43952</v>
      </c>
      <c r="B172" s="4" t="s">
        <v>16</v>
      </c>
      <c r="C172" s="4">
        <v>82228.5</v>
      </c>
      <c r="D172" s="26">
        <v>7032225</v>
      </c>
      <c r="E172" s="5">
        <f>IFERROR(VLOOKUP(J172,Sheet2!C172:F675,2),0)</f>
        <v>0</v>
      </c>
      <c r="F172" s="5">
        <f>IFERROR(VLOOKUP(J172,Sheet2!C172:F675,3),0)</f>
        <v>0</v>
      </c>
      <c r="G172" s="5">
        <f>IFERROR(VLOOKUP(J172, Sheet2!C172:F675,4),0)</f>
        <v>0</v>
      </c>
      <c r="H172" s="12">
        <f t="shared" si="6"/>
        <v>0</v>
      </c>
      <c r="I172">
        <f t="shared" si="7"/>
        <v>18</v>
      </c>
      <c r="J172" t="str">
        <f t="shared" si="8"/>
        <v>2020-05-01Волгоград</v>
      </c>
    </row>
    <row r="173" spans="1:10" ht="14.25" customHeight="1" x14ac:dyDescent="0.3">
      <c r="A173" s="15">
        <v>43963</v>
      </c>
      <c r="B173" s="6" t="s">
        <v>16</v>
      </c>
      <c r="C173" s="6">
        <v>64390.5</v>
      </c>
      <c r="D173" s="27">
        <v>5523145.5</v>
      </c>
      <c r="E173" s="5">
        <f>IFERROR(VLOOKUP(J173,Sheet2!C173:F676,2),0)</f>
        <v>36</v>
      </c>
      <c r="F173" s="5">
        <f>IFERROR(VLOOKUP(J173,Sheet2!C173:F676,3),0)</f>
        <v>4418</v>
      </c>
      <c r="G173" s="5">
        <f>IFERROR(VLOOKUP(J173, Sheet2!C173:F676,4),0)</f>
        <v>4088</v>
      </c>
      <c r="H173" s="12">
        <f t="shared" si="6"/>
        <v>153420.70833333334</v>
      </c>
      <c r="I173">
        <f t="shared" si="7"/>
        <v>20</v>
      </c>
      <c r="J173" t="str">
        <f t="shared" si="8"/>
        <v>2020-05-12Волгоград</v>
      </c>
    </row>
    <row r="174" spans="1:10" ht="14.25" customHeight="1" x14ac:dyDescent="0.3">
      <c r="A174" s="14">
        <v>43972</v>
      </c>
      <c r="B174" s="4" t="s">
        <v>16</v>
      </c>
      <c r="C174" s="4">
        <v>73126.5</v>
      </c>
      <c r="D174" s="26">
        <v>5864085</v>
      </c>
      <c r="E174" s="5">
        <f>IFERROR(VLOOKUP(J174,Sheet2!C174:F677,2),0)</f>
        <v>36</v>
      </c>
      <c r="F174" s="5">
        <f>IFERROR(VLOOKUP(J174,Sheet2!C174:F677,3),0)</f>
        <v>4816</v>
      </c>
      <c r="G174" s="5">
        <f>IFERROR(VLOOKUP(J174, Sheet2!C174:F677,4),0)</f>
        <v>4452</v>
      </c>
      <c r="H174" s="12">
        <f t="shared" si="6"/>
        <v>162891.25</v>
      </c>
      <c r="I174">
        <f t="shared" si="7"/>
        <v>21</v>
      </c>
      <c r="J174" t="str">
        <f t="shared" si="8"/>
        <v>2020-05-21Волгоград</v>
      </c>
    </row>
    <row r="175" spans="1:10" ht="14.25" customHeight="1" x14ac:dyDescent="0.3">
      <c r="A175" s="15">
        <v>43971</v>
      </c>
      <c r="B175" s="6" t="s">
        <v>16</v>
      </c>
      <c r="C175" s="6">
        <v>99631.5</v>
      </c>
      <c r="D175" s="27">
        <v>7121946</v>
      </c>
      <c r="E175" s="5">
        <f>IFERROR(VLOOKUP(J175,Sheet2!C175:F678,2),0)</f>
        <v>36</v>
      </c>
      <c r="F175" s="5">
        <f>IFERROR(VLOOKUP(J175,Sheet2!C175:F678,3),0)</f>
        <v>5914</v>
      </c>
      <c r="G175" s="5">
        <f>IFERROR(VLOOKUP(J175, Sheet2!C175:F678,4),0)</f>
        <v>5384</v>
      </c>
      <c r="H175" s="12">
        <f t="shared" si="6"/>
        <v>197831.83333333334</v>
      </c>
      <c r="I175">
        <f t="shared" si="7"/>
        <v>21</v>
      </c>
      <c r="J175" t="str">
        <f t="shared" si="8"/>
        <v>2020-05-20Волгоград</v>
      </c>
    </row>
    <row r="176" spans="1:10" ht="14.25" customHeight="1" x14ac:dyDescent="0.3">
      <c r="A176" s="14">
        <v>43956</v>
      </c>
      <c r="B176" s="4" t="s">
        <v>16</v>
      </c>
      <c r="C176" s="4">
        <v>66396</v>
      </c>
      <c r="D176" s="26">
        <v>5770539</v>
      </c>
      <c r="E176" s="5">
        <f>IFERROR(VLOOKUP(J176,Sheet2!C176:F679,2),0)</f>
        <v>0</v>
      </c>
      <c r="F176" s="5">
        <f>IFERROR(VLOOKUP(J176,Sheet2!C176:F679,3),0)</f>
        <v>0</v>
      </c>
      <c r="G176" s="5">
        <f>IFERROR(VLOOKUP(J176, Sheet2!C176:F679,4),0)</f>
        <v>0</v>
      </c>
      <c r="H176" s="12">
        <f t="shared" si="6"/>
        <v>0</v>
      </c>
      <c r="I176">
        <f t="shared" si="7"/>
        <v>19</v>
      </c>
      <c r="J176" t="str">
        <f t="shared" si="8"/>
        <v>2020-05-05Волгоград</v>
      </c>
    </row>
    <row r="177" spans="1:10" ht="14.25" customHeight="1" x14ac:dyDescent="0.3">
      <c r="A177" s="15">
        <v>43949</v>
      </c>
      <c r="B177" s="6" t="s">
        <v>16</v>
      </c>
      <c r="C177" s="6">
        <v>73147.5</v>
      </c>
      <c r="D177" s="27">
        <v>6288246</v>
      </c>
      <c r="E177" s="5">
        <f>IFERROR(VLOOKUP(J177,Sheet2!C177:F680,2),0)</f>
        <v>0</v>
      </c>
      <c r="F177" s="5">
        <f>IFERROR(VLOOKUP(J177,Sheet2!C177:F680,3),0)</f>
        <v>0</v>
      </c>
      <c r="G177" s="5">
        <f>IFERROR(VLOOKUP(J177, Sheet2!C177:F680,4),0)</f>
        <v>0</v>
      </c>
      <c r="H177" s="12">
        <f t="shared" si="6"/>
        <v>0</v>
      </c>
      <c r="I177">
        <f t="shared" si="7"/>
        <v>18</v>
      </c>
      <c r="J177" t="str">
        <f t="shared" si="8"/>
        <v>2020-04-28Волгоград</v>
      </c>
    </row>
    <row r="178" spans="1:10" ht="14.25" customHeight="1" x14ac:dyDescent="0.3">
      <c r="A178" s="14">
        <v>43964</v>
      </c>
      <c r="B178" s="4" t="s">
        <v>16</v>
      </c>
      <c r="C178" s="4">
        <v>73062</v>
      </c>
      <c r="D178" s="26">
        <v>6333828</v>
      </c>
      <c r="E178" s="5">
        <f>IFERROR(VLOOKUP(J178,Sheet2!C178:F681,2),0)</f>
        <v>36</v>
      </c>
      <c r="F178" s="5">
        <f>IFERROR(VLOOKUP(J178,Sheet2!C178:F681,3),0)</f>
        <v>4967</v>
      </c>
      <c r="G178" s="5">
        <f>IFERROR(VLOOKUP(J178, Sheet2!C178:F681,4),0)</f>
        <v>4583</v>
      </c>
      <c r="H178" s="12">
        <f t="shared" si="6"/>
        <v>175939.66666666666</v>
      </c>
      <c r="I178">
        <f t="shared" si="7"/>
        <v>20</v>
      </c>
      <c r="J178" t="str">
        <f t="shared" si="8"/>
        <v>2020-05-13Волгоград</v>
      </c>
    </row>
    <row r="179" spans="1:10" ht="14.25" customHeight="1" x14ac:dyDescent="0.3">
      <c r="A179" s="15">
        <v>43982</v>
      </c>
      <c r="B179" s="6" t="s">
        <v>15</v>
      </c>
      <c r="C179" s="6">
        <v>379663.5</v>
      </c>
      <c r="D179" s="27">
        <v>39380178</v>
      </c>
      <c r="E179" s="5">
        <f>IFERROR(VLOOKUP(J179,Sheet2!C179:F682,2),0)</f>
        <v>124</v>
      </c>
      <c r="F179" s="5">
        <f>IFERROR(VLOOKUP(J179,Sheet2!C179:F682,3),0)</f>
        <v>21392</v>
      </c>
      <c r="G179" s="5">
        <f>IFERROR(VLOOKUP(J179, Sheet2!C179:F682,4),0)</f>
        <v>19869</v>
      </c>
      <c r="H179" s="12">
        <f t="shared" si="6"/>
        <v>317582.08064516127</v>
      </c>
      <c r="I179">
        <f t="shared" si="7"/>
        <v>22</v>
      </c>
      <c r="J179" t="str">
        <f t="shared" si="8"/>
        <v>2020-05-31Санкт-Петербург Север</v>
      </c>
    </row>
    <row r="180" spans="1:10" ht="14.25" customHeight="1" x14ac:dyDescent="0.3">
      <c r="A180" s="14">
        <v>43954</v>
      </c>
      <c r="B180" s="4" t="s">
        <v>16</v>
      </c>
      <c r="C180" s="4">
        <v>70581</v>
      </c>
      <c r="D180" s="26">
        <v>6221320.5</v>
      </c>
      <c r="E180" s="5">
        <f>IFERROR(VLOOKUP(J180,Sheet2!C180:F683,2),0)</f>
        <v>0</v>
      </c>
      <c r="F180" s="5">
        <f>IFERROR(VLOOKUP(J180,Sheet2!C180:F683,3),0)</f>
        <v>0</v>
      </c>
      <c r="G180" s="5">
        <f>IFERROR(VLOOKUP(J180, Sheet2!C180:F683,4),0)</f>
        <v>0</v>
      </c>
      <c r="H180" s="12">
        <f t="shared" si="6"/>
        <v>0</v>
      </c>
      <c r="I180">
        <f t="shared" si="7"/>
        <v>18</v>
      </c>
      <c r="J180" t="str">
        <f t="shared" si="8"/>
        <v>2020-05-03Волгоград</v>
      </c>
    </row>
    <row r="181" spans="1:10" ht="14.25" customHeight="1" x14ac:dyDescent="0.3">
      <c r="A181" s="15">
        <v>43981</v>
      </c>
      <c r="B181" s="6" t="s">
        <v>15</v>
      </c>
      <c r="C181" s="6">
        <v>453123</v>
      </c>
      <c r="D181" s="27">
        <v>46370904</v>
      </c>
      <c r="E181" s="5">
        <f>IFERROR(VLOOKUP(J181,Sheet2!C181:F684,2),0)</f>
        <v>124</v>
      </c>
      <c r="F181" s="5">
        <f>IFERROR(VLOOKUP(J181,Sheet2!C181:F684,3),0)</f>
        <v>24325</v>
      </c>
      <c r="G181" s="5">
        <f>IFERROR(VLOOKUP(J181, Sheet2!C181:F684,4),0)</f>
        <v>22469</v>
      </c>
      <c r="H181" s="12">
        <f t="shared" si="6"/>
        <v>373958.90322580643</v>
      </c>
      <c r="I181">
        <f t="shared" si="7"/>
        <v>22</v>
      </c>
      <c r="J181" t="str">
        <f t="shared" si="8"/>
        <v>2020-05-30Санкт-Петербург Север</v>
      </c>
    </row>
    <row r="182" spans="1:10" ht="14.25" customHeight="1" x14ac:dyDescent="0.3">
      <c r="A182" s="14">
        <v>43957</v>
      </c>
      <c r="B182" s="4" t="s">
        <v>16</v>
      </c>
      <c r="C182" s="4">
        <v>63012</v>
      </c>
      <c r="D182" s="26">
        <v>5454121.5</v>
      </c>
      <c r="E182" s="5">
        <f>IFERROR(VLOOKUP(J182,Sheet2!C182:F685,2),0)</f>
        <v>0</v>
      </c>
      <c r="F182" s="5">
        <f>IFERROR(VLOOKUP(J182,Sheet2!C182:F685,3),0)</f>
        <v>0</v>
      </c>
      <c r="G182" s="5">
        <f>IFERROR(VLOOKUP(J182, Sheet2!C182:F685,4),0)</f>
        <v>0</v>
      </c>
      <c r="H182" s="12">
        <f t="shared" si="6"/>
        <v>0</v>
      </c>
      <c r="I182">
        <f t="shared" si="7"/>
        <v>19</v>
      </c>
      <c r="J182" t="str">
        <f t="shared" si="8"/>
        <v>2020-05-06Волгоград</v>
      </c>
    </row>
    <row r="183" spans="1:10" ht="14.25" customHeight="1" x14ac:dyDescent="0.3">
      <c r="A183" s="15">
        <v>43974</v>
      </c>
      <c r="B183" s="6" t="s">
        <v>16</v>
      </c>
      <c r="C183" s="6">
        <v>89556</v>
      </c>
      <c r="D183" s="27">
        <v>7173117</v>
      </c>
      <c r="E183" s="5">
        <f>IFERROR(VLOOKUP(J183,Sheet2!C183:F686,2),0)</f>
        <v>36</v>
      </c>
      <c r="F183" s="5">
        <f>IFERROR(VLOOKUP(J183,Sheet2!C183:F686,3),0)</f>
        <v>5651</v>
      </c>
      <c r="G183" s="5">
        <f>IFERROR(VLOOKUP(J183, Sheet2!C183:F686,4),0)</f>
        <v>5212</v>
      </c>
      <c r="H183" s="12">
        <f t="shared" si="6"/>
        <v>199253.25</v>
      </c>
      <c r="I183">
        <f t="shared" si="7"/>
        <v>21</v>
      </c>
      <c r="J183" t="str">
        <f t="shared" si="8"/>
        <v>2020-05-23Волгоград</v>
      </c>
    </row>
    <row r="184" spans="1:10" ht="14.25" customHeight="1" x14ac:dyDescent="0.3">
      <c r="A184" s="14">
        <v>43979</v>
      </c>
      <c r="B184" s="4" t="s">
        <v>15</v>
      </c>
      <c r="C184" s="4">
        <v>364638</v>
      </c>
      <c r="D184" s="26">
        <v>37947688.5</v>
      </c>
      <c r="E184" s="5">
        <f>IFERROR(VLOOKUP(J184,Sheet2!C184:F687,2),0)</f>
        <v>124</v>
      </c>
      <c r="F184" s="5">
        <f>IFERROR(VLOOKUP(J184,Sheet2!C184:F687,3),0)</f>
        <v>20868</v>
      </c>
      <c r="G184" s="5">
        <f>IFERROR(VLOOKUP(J184, Sheet2!C184:F687,4),0)</f>
        <v>19342</v>
      </c>
      <c r="H184" s="12">
        <f t="shared" si="6"/>
        <v>306029.74596774194</v>
      </c>
      <c r="I184">
        <f t="shared" si="7"/>
        <v>22</v>
      </c>
      <c r="J184" t="str">
        <f t="shared" si="8"/>
        <v>2020-05-28Санкт-Петербург Север</v>
      </c>
    </row>
    <row r="185" spans="1:10" ht="14.25" customHeight="1" x14ac:dyDescent="0.3">
      <c r="A185" s="15">
        <v>43976</v>
      </c>
      <c r="B185" s="6" t="s">
        <v>16</v>
      </c>
      <c r="C185" s="6">
        <v>66316.5</v>
      </c>
      <c r="D185" s="27">
        <v>5704650</v>
      </c>
      <c r="E185" s="5">
        <f>IFERROR(VLOOKUP(J185,Sheet2!C185:F688,2),0)</f>
        <v>36</v>
      </c>
      <c r="F185" s="5">
        <f>IFERROR(VLOOKUP(J185,Sheet2!C185:F688,3),0)</f>
        <v>4641</v>
      </c>
      <c r="G185" s="5">
        <f>IFERROR(VLOOKUP(J185, Sheet2!C185:F688,4),0)</f>
        <v>4274</v>
      </c>
      <c r="H185" s="12">
        <f t="shared" si="6"/>
        <v>158462.5</v>
      </c>
      <c r="I185">
        <f t="shared" si="7"/>
        <v>22</v>
      </c>
      <c r="J185" t="str">
        <f t="shared" si="8"/>
        <v>2020-05-25Волгоград</v>
      </c>
    </row>
    <row r="186" spans="1:10" ht="14.25" customHeight="1" x14ac:dyDescent="0.3">
      <c r="A186" s="14">
        <v>43951</v>
      </c>
      <c r="B186" s="4" t="s">
        <v>16</v>
      </c>
      <c r="C186" s="4">
        <v>78235.5</v>
      </c>
      <c r="D186" s="26">
        <v>6819594</v>
      </c>
      <c r="E186" s="5">
        <f>IFERROR(VLOOKUP(J186,Sheet2!C186:F689,2),0)</f>
        <v>0</v>
      </c>
      <c r="F186" s="5">
        <f>IFERROR(VLOOKUP(J186,Sheet2!C186:F689,3),0)</f>
        <v>0</v>
      </c>
      <c r="G186" s="5">
        <f>IFERROR(VLOOKUP(J186, Sheet2!C186:F689,4),0)</f>
        <v>0</v>
      </c>
      <c r="H186" s="12">
        <f t="shared" si="6"/>
        <v>0</v>
      </c>
      <c r="I186">
        <f t="shared" si="7"/>
        <v>18</v>
      </c>
      <c r="J186" t="str">
        <f t="shared" si="8"/>
        <v>2020-04-30Волгоград</v>
      </c>
    </row>
    <row r="187" spans="1:10" ht="14.25" customHeight="1" x14ac:dyDescent="0.3">
      <c r="A187" s="15">
        <v>43961</v>
      </c>
      <c r="B187" s="6" t="s">
        <v>16</v>
      </c>
      <c r="C187" s="6">
        <v>88311</v>
      </c>
      <c r="D187" s="27">
        <v>7726069.5</v>
      </c>
      <c r="E187" s="5">
        <f>IFERROR(VLOOKUP(J187,Sheet2!C187:F690,2),0)</f>
        <v>0</v>
      </c>
      <c r="F187" s="5">
        <f>IFERROR(VLOOKUP(J187,Sheet2!C187:F690,3),0)</f>
        <v>0</v>
      </c>
      <c r="G187" s="5">
        <f>IFERROR(VLOOKUP(J187, Sheet2!C187:F690,4),0)</f>
        <v>0</v>
      </c>
      <c r="H187" s="12">
        <f t="shared" si="6"/>
        <v>0</v>
      </c>
      <c r="I187">
        <f t="shared" si="7"/>
        <v>19</v>
      </c>
      <c r="J187" t="str">
        <f t="shared" si="8"/>
        <v>2020-05-10Волгоград</v>
      </c>
    </row>
    <row r="188" spans="1:10" ht="14.25" customHeight="1" x14ac:dyDescent="0.3">
      <c r="A188" s="14">
        <v>43959</v>
      </c>
      <c r="B188" s="4" t="s">
        <v>16</v>
      </c>
      <c r="C188" s="4">
        <v>61804.5</v>
      </c>
      <c r="D188" s="26">
        <v>5365708.5</v>
      </c>
      <c r="E188" s="5">
        <f>IFERROR(VLOOKUP(J188,Sheet2!C188:F691,2),0)</f>
        <v>0</v>
      </c>
      <c r="F188" s="5">
        <f>IFERROR(VLOOKUP(J188,Sheet2!C188:F691,3),0)</f>
        <v>0</v>
      </c>
      <c r="G188" s="5">
        <f>IFERROR(VLOOKUP(J188, Sheet2!C188:F691,4),0)</f>
        <v>0</v>
      </c>
      <c r="H188" s="12">
        <f t="shared" si="6"/>
        <v>0</v>
      </c>
      <c r="I188">
        <f t="shared" si="7"/>
        <v>19</v>
      </c>
      <c r="J188" t="str">
        <f t="shared" si="8"/>
        <v>2020-05-08Волгоград</v>
      </c>
    </row>
    <row r="189" spans="1:10" ht="14.25" customHeight="1" x14ac:dyDescent="0.3">
      <c r="A189" s="15">
        <v>43958</v>
      </c>
      <c r="B189" s="6" t="s">
        <v>16</v>
      </c>
      <c r="C189" s="6">
        <v>71067</v>
      </c>
      <c r="D189" s="27">
        <v>6175837.5</v>
      </c>
      <c r="E189" s="5">
        <f>IFERROR(VLOOKUP(J189,Sheet2!C189:F692,2),0)</f>
        <v>0</v>
      </c>
      <c r="F189" s="5">
        <f>IFERROR(VLOOKUP(J189,Sheet2!C189:F692,3),0)</f>
        <v>0</v>
      </c>
      <c r="G189" s="5">
        <f>IFERROR(VLOOKUP(J189, Sheet2!C189:F692,4),0)</f>
        <v>0</v>
      </c>
      <c r="H189" s="12">
        <f t="shared" si="6"/>
        <v>0</v>
      </c>
      <c r="I189">
        <f t="shared" si="7"/>
        <v>19</v>
      </c>
      <c r="J189" t="str">
        <f t="shared" si="8"/>
        <v>2020-05-07Волгоград</v>
      </c>
    </row>
    <row r="190" spans="1:10" ht="14.25" customHeight="1" x14ac:dyDescent="0.3">
      <c r="A190" s="14">
        <v>43975</v>
      </c>
      <c r="B190" s="4" t="s">
        <v>16</v>
      </c>
      <c r="C190" s="4">
        <v>74649</v>
      </c>
      <c r="D190" s="26">
        <v>6098236.5</v>
      </c>
      <c r="E190" s="5">
        <f>IFERROR(VLOOKUP(J190,Sheet2!C190:F693,2),0)</f>
        <v>36</v>
      </c>
      <c r="F190" s="5">
        <f>IFERROR(VLOOKUP(J190,Sheet2!C190:F693,3),0)</f>
        <v>4915</v>
      </c>
      <c r="G190" s="5">
        <f>IFERROR(VLOOKUP(J190, Sheet2!C190:F693,4),0)</f>
        <v>4562</v>
      </c>
      <c r="H190" s="12">
        <f t="shared" si="6"/>
        <v>169395.45833333334</v>
      </c>
      <c r="I190">
        <f t="shared" si="7"/>
        <v>21</v>
      </c>
      <c r="J190" t="str">
        <f t="shared" si="8"/>
        <v>2020-05-24Волгоград</v>
      </c>
    </row>
    <row r="191" spans="1:10" ht="14.25" customHeight="1" x14ac:dyDescent="0.3">
      <c r="A191" s="15">
        <v>43967</v>
      </c>
      <c r="B191" s="6" t="s">
        <v>17</v>
      </c>
      <c r="C191" s="6">
        <v>44560.5</v>
      </c>
      <c r="D191" s="27">
        <v>4025148</v>
      </c>
      <c r="E191" s="5">
        <f>IFERROR(VLOOKUP(J191,Sheet2!C191:F694,2),0)</f>
        <v>21</v>
      </c>
      <c r="F191" s="5">
        <f>IFERROR(VLOOKUP(J191,Sheet2!C191:F694,3),0)</f>
        <v>2427</v>
      </c>
      <c r="G191" s="5">
        <f>IFERROR(VLOOKUP(J191, Sheet2!C191:F694,4),0)</f>
        <v>2213</v>
      </c>
      <c r="H191" s="12">
        <f t="shared" si="6"/>
        <v>191673.71428571429</v>
      </c>
      <c r="I191">
        <f t="shared" si="7"/>
        <v>20</v>
      </c>
      <c r="J191" t="str">
        <f t="shared" si="8"/>
        <v>2020-05-16Казань</v>
      </c>
    </row>
    <row r="192" spans="1:10" ht="14.25" customHeight="1" x14ac:dyDescent="0.3">
      <c r="A192" s="14">
        <v>43970</v>
      </c>
      <c r="B192" s="4" t="s">
        <v>17</v>
      </c>
      <c r="C192" s="4">
        <v>38250</v>
      </c>
      <c r="D192" s="26">
        <v>3552937.5</v>
      </c>
      <c r="E192" s="5">
        <f>IFERROR(VLOOKUP(J192,Sheet2!C192:F695,2),0)</f>
        <v>21</v>
      </c>
      <c r="F192" s="5">
        <f>IFERROR(VLOOKUP(J192,Sheet2!C192:F695,3),0)</f>
        <v>2245</v>
      </c>
      <c r="G192" s="5">
        <f>IFERROR(VLOOKUP(J192, Sheet2!C192:F695,4),0)</f>
        <v>2053</v>
      </c>
      <c r="H192" s="12">
        <f t="shared" si="6"/>
        <v>169187.5</v>
      </c>
      <c r="I192">
        <f t="shared" si="7"/>
        <v>21</v>
      </c>
      <c r="J192" t="str">
        <f t="shared" si="8"/>
        <v>2020-05-19Казань</v>
      </c>
    </row>
    <row r="193" spans="1:10" ht="14.25" customHeight="1" x14ac:dyDescent="0.3">
      <c r="A193" s="15">
        <v>43968</v>
      </c>
      <c r="B193" s="6" t="s">
        <v>17</v>
      </c>
      <c r="C193" s="6">
        <v>34830</v>
      </c>
      <c r="D193" s="27">
        <v>3191155.5</v>
      </c>
      <c r="E193" s="5">
        <f>IFERROR(VLOOKUP(J193,Sheet2!C193:F696,2),0)</f>
        <v>21</v>
      </c>
      <c r="F193" s="5">
        <f>IFERROR(VLOOKUP(J193,Sheet2!C193:F696,3),0)</f>
        <v>2054</v>
      </c>
      <c r="G193" s="5">
        <f>IFERROR(VLOOKUP(J193, Sheet2!C193:F696,4),0)</f>
        <v>1883</v>
      </c>
      <c r="H193" s="12">
        <f t="shared" si="6"/>
        <v>151959.78571428571</v>
      </c>
      <c r="I193">
        <f t="shared" si="7"/>
        <v>20</v>
      </c>
      <c r="J193" t="str">
        <f t="shared" si="8"/>
        <v>2020-05-17Казань</v>
      </c>
    </row>
    <row r="194" spans="1:10" ht="14.25" customHeight="1" x14ac:dyDescent="0.3">
      <c r="A194" s="14">
        <v>43960</v>
      </c>
      <c r="B194" s="4" t="s">
        <v>17</v>
      </c>
      <c r="C194" s="4">
        <v>32239.5</v>
      </c>
      <c r="D194" s="26">
        <v>3084892.5</v>
      </c>
      <c r="E194" s="5">
        <f>IFERROR(VLOOKUP(J194,Sheet2!C194:F697,2),0)</f>
        <v>0</v>
      </c>
      <c r="F194" s="5">
        <f>IFERROR(VLOOKUP(J194,Sheet2!C194:F697,3),0)</f>
        <v>0</v>
      </c>
      <c r="G194" s="5">
        <f>IFERROR(VLOOKUP(J194, Sheet2!C194:F697,4),0)</f>
        <v>0</v>
      </c>
      <c r="H194" s="12">
        <f t="shared" si="6"/>
        <v>0</v>
      </c>
      <c r="I194">
        <f t="shared" si="7"/>
        <v>19</v>
      </c>
      <c r="J194" t="str">
        <f t="shared" si="8"/>
        <v>2020-05-09Казань</v>
      </c>
    </row>
    <row r="195" spans="1:10" ht="14.25" customHeight="1" x14ac:dyDescent="0.3">
      <c r="A195" s="15">
        <v>43955</v>
      </c>
      <c r="B195" s="6" t="s">
        <v>17</v>
      </c>
      <c r="C195" s="6">
        <v>30780</v>
      </c>
      <c r="D195" s="27">
        <v>2817853.5</v>
      </c>
      <c r="E195" s="5">
        <f>IFERROR(VLOOKUP(J195,Sheet2!C195:F698,2),0)</f>
        <v>0</v>
      </c>
      <c r="F195" s="5">
        <f>IFERROR(VLOOKUP(J195,Sheet2!C195:F698,3),0)</f>
        <v>0</v>
      </c>
      <c r="G195" s="5">
        <f>IFERROR(VLOOKUP(J195, Sheet2!C195:F698,4),0)</f>
        <v>0</v>
      </c>
      <c r="H195" s="12">
        <f t="shared" ref="H195:H258" si="9">IF(VALUE(E195)&gt;0, D195/VALUE(E195), 0)</f>
        <v>0</v>
      </c>
      <c r="I195">
        <f t="shared" ref="I195:I258" si="10">_xlfn.ISOWEEKNUM(A195)</f>
        <v>19</v>
      </c>
      <c r="J195" t="str">
        <f t="shared" ref="J195:J258" si="11">TEXT(A195,"yyyy-mm-dd") &amp; TRIM(B195)</f>
        <v>2020-05-04Казань</v>
      </c>
    </row>
    <row r="196" spans="1:10" ht="14.25" customHeight="1" x14ac:dyDescent="0.3">
      <c r="A196" s="14">
        <v>43950</v>
      </c>
      <c r="B196" s="4" t="s">
        <v>17</v>
      </c>
      <c r="C196" s="4">
        <v>29142</v>
      </c>
      <c r="D196" s="26">
        <v>2627595</v>
      </c>
      <c r="E196" s="5">
        <f>IFERROR(VLOOKUP(J196,Sheet2!C196:F699,2),0)</f>
        <v>0</v>
      </c>
      <c r="F196" s="5">
        <f>IFERROR(VLOOKUP(J196,Sheet2!C196:F699,3),0)</f>
        <v>0</v>
      </c>
      <c r="G196" s="5">
        <f>IFERROR(VLOOKUP(J196, Sheet2!C196:F699,4),0)</f>
        <v>0</v>
      </c>
      <c r="H196" s="12">
        <f t="shared" si="9"/>
        <v>0</v>
      </c>
      <c r="I196">
        <f t="shared" si="10"/>
        <v>18</v>
      </c>
      <c r="J196" t="str">
        <f t="shared" si="11"/>
        <v>2020-04-29Казань</v>
      </c>
    </row>
    <row r="197" spans="1:10" ht="14.25" customHeight="1" x14ac:dyDescent="0.3">
      <c r="A197" s="15">
        <v>43953</v>
      </c>
      <c r="B197" s="6" t="s">
        <v>17</v>
      </c>
      <c r="C197" s="6">
        <v>26428.5</v>
      </c>
      <c r="D197" s="27">
        <v>2470465.5</v>
      </c>
      <c r="E197" s="5">
        <f>IFERROR(VLOOKUP(J197,Sheet2!C197:F700,2),0)</f>
        <v>0</v>
      </c>
      <c r="F197" s="5">
        <f>IFERROR(VLOOKUP(J197,Sheet2!C197:F700,3),0)</f>
        <v>0</v>
      </c>
      <c r="G197" s="5">
        <f>IFERROR(VLOOKUP(J197, Sheet2!C197:F700,4),0)</f>
        <v>0</v>
      </c>
      <c r="H197" s="12">
        <f t="shared" si="9"/>
        <v>0</v>
      </c>
      <c r="I197">
        <f t="shared" si="10"/>
        <v>18</v>
      </c>
      <c r="J197" t="str">
        <f t="shared" si="11"/>
        <v>2020-05-02Казань</v>
      </c>
    </row>
    <row r="198" spans="1:10" ht="14.25" customHeight="1" x14ac:dyDescent="0.3">
      <c r="A198" s="14">
        <v>43977</v>
      </c>
      <c r="B198" s="4" t="s">
        <v>17</v>
      </c>
      <c r="C198" s="4">
        <v>40744.5</v>
      </c>
      <c r="D198" s="26">
        <v>3700311</v>
      </c>
      <c r="E198" s="5">
        <f>IFERROR(VLOOKUP(J198,Sheet2!C198:F701,2),0)</f>
        <v>21</v>
      </c>
      <c r="F198" s="5">
        <f>IFERROR(VLOOKUP(J198,Sheet2!C198:F701,3),0)</f>
        <v>2418</v>
      </c>
      <c r="G198" s="5">
        <f>IFERROR(VLOOKUP(J198, Sheet2!C198:F701,4),0)</f>
        <v>2215</v>
      </c>
      <c r="H198" s="12">
        <f t="shared" si="9"/>
        <v>176205.28571428571</v>
      </c>
      <c r="I198">
        <f t="shared" si="10"/>
        <v>22</v>
      </c>
      <c r="J198" t="str">
        <f t="shared" si="11"/>
        <v>2020-05-26Казань</v>
      </c>
    </row>
    <row r="199" spans="1:10" ht="14.25" customHeight="1" x14ac:dyDescent="0.3">
      <c r="A199" s="15">
        <v>43952</v>
      </c>
      <c r="B199" s="6" t="s">
        <v>17</v>
      </c>
      <c r="C199" s="6">
        <v>46620</v>
      </c>
      <c r="D199" s="27">
        <v>4293241.5</v>
      </c>
      <c r="E199" s="5">
        <f>IFERROR(VLOOKUP(J199,Sheet2!C199:F702,2),0)</f>
        <v>0</v>
      </c>
      <c r="F199" s="5">
        <f>IFERROR(VLOOKUP(J199,Sheet2!C199:F702,3),0)</f>
        <v>0</v>
      </c>
      <c r="G199" s="5">
        <f>IFERROR(VLOOKUP(J199, Sheet2!C199:F702,4),0)</f>
        <v>0</v>
      </c>
      <c r="H199" s="12">
        <f t="shared" si="9"/>
        <v>0</v>
      </c>
      <c r="I199">
        <f t="shared" si="10"/>
        <v>18</v>
      </c>
      <c r="J199" t="str">
        <f t="shared" si="11"/>
        <v>2020-05-01Казань</v>
      </c>
    </row>
    <row r="200" spans="1:10" ht="14.25" customHeight="1" x14ac:dyDescent="0.3">
      <c r="A200" s="14">
        <v>43963</v>
      </c>
      <c r="B200" s="4" t="s">
        <v>17</v>
      </c>
      <c r="C200" s="4">
        <v>32419.5</v>
      </c>
      <c r="D200" s="26">
        <v>3080614.5</v>
      </c>
      <c r="E200" s="5">
        <f>IFERROR(VLOOKUP(J200,Sheet2!C200:F703,2),0)</f>
        <v>0</v>
      </c>
      <c r="F200" s="5">
        <f>IFERROR(VLOOKUP(J200,Sheet2!C200:F703,3),0)</f>
        <v>0</v>
      </c>
      <c r="G200" s="5">
        <f>IFERROR(VLOOKUP(J200, Sheet2!C200:F703,4),0)</f>
        <v>0</v>
      </c>
      <c r="H200" s="12">
        <f t="shared" si="9"/>
        <v>0</v>
      </c>
      <c r="I200">
        <f t="shared" si="10"/>
        <v>20</v>
      </c>
      <c r="J200" t="str">
        <f t="shared" si="11"/>
        <v>2020-05-12Казань</v>
      </c>
    </row>
    <row r="201" spans="1:10" ht="14.25" customHeight="1" x14ac:dyDescent="0.3">
      <c r="A201" s="15">
        <v>43972</v>
      </c>
      <c r="B201" s="6" t="s">
        <v>17</v>
      </c>
      <c r="C201" s="6">
        <v>40819.5</v>
      </c>
      <c r="D201" s="27">
        <v>3810394.5</v>
      </c>
      <c r="E201" s="5">
        <f>IFERROR(VLOOKUP(J201,Sheet2!C201:F704,2),0)</f>
        <v>21</v>
      </c>
      <c r="F201" s="5">
        <f>IFERROR(VLOOKUP(J201,Sheet2!C201:F704,3),0)</f>
        <v>2335</v>
      </c>
      <c r="G201" s="5">
        <f>IFERROR(VLOOKUP(J201, Sheet2!C201:F704,4),0)</f>
        <v>2126</v>
      </c>
      <c r="H201" s="12">
        <f t="shared" si="9"/>
        <v>181447.35714285713</v>
      </c>
      <c r="I201">
        <f t="shared" si="10"/>
        <v>21</v>
      </c>
      <c r="J201" t="str">
        <f t="shared" si="11"/>
        <v>2020-05-21Казань</v>
      </c>
    </row>
    <row r="202" spans="1:10" ht="14.25" customHeight="1" x14ac:dyDescent="0.3">
      <c r="A202" s="14">
        <v>43971</v>
      </c>
      <c r="B202" s="4" t="s">
        <v>17</v>
      </c>
      <c r="C202" s="4">
        <v>41391</v>
      </c>
      <c r="D202" s="26">
        <v>3918987</v>
      </c>
      <c r="E202" s="5">
        <f>IFERROR(VLOOKUP(J202,Sheet2!C202:F705,2),0)</f>
        <v>21</v>
      </c>
      <c r="F202" s="5">
        <f>IFERROR(VLOOKUP(J202,Sheet2!C202:F705,3),0)</f>
        <v>2410</v>
      </c>
      <c r="G202" s="5">
        <f>IFERROR(VLOOKUP(J202, Sheet2!C202:F705,4),0)</f>
        <v>2202</v>
      </c>
      <c r="H202" s="12">
        <f t="shared" si="9"/>
        <v>186618.42857142858</v>
      </c>
      <c r="I202">
        <f t="shared" si="10"/>
        <v>21</v>
      </c>
      <c r="J202" t="str">
        <f t="shared" si="11"/>
        <v>2020-05-20Казань</v>
      </c>
    </row>
    <row r="203" spans="1:10" ht="14.25" customHeight="1" x14ac:dyDescent="0.3">
      <c r="A203" s="15">
        <v>43956</v>
      </c>
      <c r="B203" s="6" t="s">
        <v>17</v>
      </c>
      <c r="C203" s="6">
        <v>29482.5</v>
      </c>
      <c r="D203" s="27">
        <v>2648688</v>
      </c>
      <c r="E203" s="5">
        <f>IFERROR(VLOOKUP(J203,Sheet2!C203:F706,2),0)</f>
        <v>0</v>
      </c>
      <c r="F203" s="5">
        <f>IFERROR(VLOOKUP(J203,Sheet2!C203:F706,3),0)</f>
        <v>0</v>
      </c>
      <c r="G203" s="5">
        <f>IFERROR(VLOOKUP(J203, Sheet2!C203:F706,4),0)</f>
        <v>0</v>
      </c>
      <c r="H203" s="12">
        <f t="shared" si="9"/>
        <v>0</v>
      </c>
      <c r="I203">
        <f t="shared" si="10"/>
        <v>19</v>
      </c>
      <c r="J203" t="str">
        <f t="shared" si="11"/>
        <v>2020-05-05Казань</v>
      </c>
    </row>
    <row r="204" spans="1:10" ht="14.25" customHeight="1" x14ac:dyDescent="0.3">
      <c r="A204" s="14">
        <v>43949</v>
      </c>
      <c r="B204" s="4" t="s">
        <v>17</v>
      </c>
      <c r="C204" s="4">
        <v>32181</v>
      </c>
      <c r="D204" s="26">
        <v>2863600.5</v>
      </c>
      <c r="E204" s="5">
        <f>IFERROR(VLOOKUP(J204,Sheet2!C204:F707,2),0)</f>
        <v>0</v>
      </c>
      <c r="F204" s="5">
        <f>IFERROR(VLOOKUP(J204,Sheet2!C204:F707,3),0)</f>
        <v>0</v>
      </c>
      <c r="G204" s="5">
        <f>IFERROR(VLOOKUP(J204, Sheet2!C204:F707,4),0)</f>
        <v>0</v>
      </c>
      <c r="H204" s="12">
        <f t="shared" si="9"/>
        <v>0</v>
      </c>
      <c r="I204">
        <f t="shared" si="10"/>
        <v>18</v>
      </c>
      <c r="J204" t="str">
        <f t="shared" si="11"/>
        <v>2020-04-28Казань</v>
      </c>
    </row>
    <row r="205" spans="1:10" ht="14.25" customHeight="1" x14ac:dyDescent="0.3">
      <c r="A205" s="15">
        <v>43964</v>
      </c>
      <c r="B205" s="6" t="s">
        <v>17</v>
      </c>
      <c r="C205" s="6">
        <v>35535</v>
      </c>
      <c r="D205" s="27">
        <v>3288069</v>
      </c>
      <c r="E205" s="5">
        <f>IFERROR(VLOOKUP(J205,Sheet2!C205:F708,2),0)</f>
        <v>21</v>
      </c>
      <c r="F205" s="5">
        <f>IFERROR(VLOOKUP(J205,Sheet2!C205:F708,3),0)</f>
        <v>2061</v>
      </c>
      <c r="G205" s="5">
        <f>IFERROR(VLOOKUP(J205, Sheet2!C205:F708,4),0)</f>
        <v>1876</v>
      </c>
      <c r="H205" s="12">
        <f t="shared" si="9"/>
        <v>156574.71428571429</v>
      </c>
      <c r="I205">
        <f t="shared" si="10"/>
        <v>20</v>
      </c>
      <c r="J205" t="str">
        <f t="shared" si="11"/>
        <v>2020-05-13Казань</v>
      </c>
    </row>
    <row r="206" spans="1:10" ht="14.25" customHeight="1" x14ac:dyDescent="0.3">
      <c r="A206" s="14">
        <v>43982</v>
      </c>
      <c r="B206" s="4" t="s">
        <v>16</v>
      </c>
      <c r="C206" s="4">
        <v>76234.5</v>
      </c>
      <c r="D206" s="26">
        <v>6500848.5</v>
      </c>
      <c r="E206" s="5">
        <f>IFERROR(VLOOKUP(J206,Sheet2!C206:F709,2),0)</f>
        <v>37</v>
      </c>
      <c r="F206" s="5">
        <f>IFERROR(VLOOKUP(J206,Sheet2!C206:F709,3),0)</f>
        <v>5215</v>
      </c>
      <c r="G206" s="5">
        <f>IFERROR(VLOOKUP(J206, Sheet2!C206:F709,4),0)</f>
        <v>4848</v>
      </c>
      <c r="H206" s="12">
        <f t="shared" si="9"/>
        <v>175698.60810810811</v>
      </c>
      <c r="I206">
        <f t="shared" si="10"/>
        <v>22</v>
      </c>
      <c r="J206" t="str">
        <f t="shared" si="11"/>
        <v>2020-05-31Волгоград</v>
      </c>
    </row>
    <row r="207" spans="1:10" ht="14.25" customHeight="1" x14ac:dyDescent="0.3">
      <c r="A207" s="15">
        <v>43954</v>
      </c>
      <c r="B207" s="6" t="s">
        <v>17</v>
      </c>
      <c r="C207" s="6">
        <v>29935.5</v>
      </c>
      <c r="D207" s="27">
        <v>2720002.5</v>
      </c>
      <c r="E207" s="5">
        <f>IFERROR(VLOOKUP(J207,Sheet2!C207:F710,2),0)</f>
        <v>0</v>
      </c>
      <c r="F207" s="5">
        <f>IFERROR(VLOOKUP(J207,Sheet2!C207:F710,3),0)</f>
        <v>0</v>
      </c>
      <c r="G207" s="5">
        <f>IFERROR(VLOOKUP(J207, Sheet2!C207:F710,4),0)</f>
        <v>0</v>
      </c>
      <c r="H207" s="12">
        <f t="shared" si="9"/>
        <v>0</v>
      </c>
      <c r="I207">
        <f t="shared" si="10"/>
        <v>18</v>
      </c>
      <c r="J207" t="str">
        <f t="shared" si="11"/>
        <v>2020-05-03Казань</v>
      </c>
    </row>
    <row r="208" spans="1:10" ht="14.25" customHeight="1" x14ac:dyDescent="0.3">
      <c r="A208" s="14">
        <v>43981</v>
      </c>
      <c r="B208" s="4" t="s">
        <v>16</v>
      </c>
      <c r="C208" s="4">
        <v>106926</v>
      </c>
      <c r="D208" s="26">
        <v>9098386.5</v>
      </c>
      <c r="E208" s="5">
        <f>IFERROR(VLOOKUP(J208,Sheet2!C208:F711,2),0)</f>
        <v>37</v>
      </c>
      <c r="F208" s="5">
        <f>IFERROR(VLOOKUP(J208,Sheet2!C208:F711,3),0)</f>
        <v>6645</v>
      </c>
      <c r="G208" s="5">
        <f>IFERROR(VLOOKUP(J208, Sheet2!C208:F711,4),0)</f>
        <v>6122</v>
      </c>
      <c r="H208" s="12">
        <f t="shared" si="9"/>
        <v>245902.33783783784</v>
      </c>
      <c r="I208">
        <f t="shared" si="10"/>
        <v>22</v>
      </c>
      <c r="J208" t="str">
        <f t="shared" si="11"/>
        <v>2020-05-30Волгоград</v>
      </c>
    </row>
    <row r="209" spans="1:10" ht="14.25" customHeight="1" x14ac:dyDescent="0.3">
      <c r="A209" s="15">
        <v>43957</v>
      </c>
      <c r="B209" s="6" t="s">
        <v>17</v>
      </c>
      <c r="C209" s="6">
        <v>30342</v>
      </c>
      <c r="D209" s="27">
        <v>2738127</v>
      </c>
      <c r="E209" s="5">
        <f>IFERROR(VLOOKUP(J209,Sheet2!C209:F712,2),0)</f>
        <v>0</v>
      </c>
      <c r="F209" s="5">
        <f>IFERROR(VLOOKUP(J209,Sheet2!C209:F712,3),0)</f>
        <v>0</v>
      </c>
      <c r="G209" s="5">
        <f>IFERROR(VLOOKUP(J209, Sheet2!C209:F712,4),0)</f>
        <v>0</v>
      </c>
      <c r="H209" s="12">
        <f t="shared" si="9"/>
        <v>0</v>
      </c>
      <c r="I209">
        <f t="shared" si="10"/>
        <v>19</v>
      </c>
      <c r="J209" t="str">
        <f t="shared" si="11"/>
        <v>2020-05-06Казань</v>
      </c>
    </row>
    <row r="210" spans="1:10" ht="14.25" customHeight="1" x14ac:dyDescent="0.3">
      <c r="A210" s="14">
        <v>43974</v>
      </c>
      <c r="B210" s="4" t="s">
        <v>17</v>
      </c>
      <c r="C210" s="4">
        <v>42999</v>
      </c>
      <c r="D210" s="26">
        <v>3883215</v>
      </c>
      <c r="E210" s="5">
        <f>IFERROR(VLOOKUP(J210,Sheet2!C210:F713,2),0)</f>
        <v>21</v>
      </c>
      <c r="F210" s="5">
        <f>IFERROR(VLOOKUP(J210,Sheet2!C210:F713,3),0)</f>
        <v>2460</v>
      </c>
      <c r="G210" s="5">
        <f>IFERROR(VLOOKUP(J210, Sheet2!C210:F713,4),0)</f>
        <v>2226</v>
      </c>
      <c r="H210" s="12">
        <f t="shared" si="9"/>
        <v>184915</v>
      </c>
      <c r="I210">
        <f t="shared" si="10"/>
        <v>21</v>
      </c>
      <c r="J210" t="str">
        <f t="shared" si="11"/>
        <v>2020-05-23Казань</v>
      </c>
    </row>
    <row r="211" spans="1:10" ht="14.25" customHeight="1" x14ac:dyDescent="0.3">
      <c r="A211" s="15">
        <v>43979</v>
      </c>
      <c r="B211" s="6" t="s">
        <v>16</v>
      </c>
      <c r="C211" s="6">
        <v>69945</v>
      </c>
      <c r="D211" s="27">
        <v>6101931</v>
      </c>
      <c r="E211" s="5">
        <f>IFERROR(VLOOKUP(J211,Sheet2!C211:F714,2),0)</f>
        <v>37</v>
      </c>
      <c r="F211" s="5">
        <f>IFERROR(VLOOKUP(J211,Sheet2!C211:F714,3),0)</f>
        <v>4840</v>
      </c>
      <c r="G211" s="5">
        <f>IFERROR(VLOOKUP(J211, Sheet2!C211:F714,4),0)</f>
        <v>4475</v>
      </c>
      <c r="H211" s="12">
        <f t="shared" si="9"/>
        <v>164917.05405405405</v>
      </c>
      <c r="I211">
        <f t="shared" si="10"/>
        <v>22</v>
      </c>
      <c r="J211" t="str">
        <f t="shared" si="11"/>
        <v>2020-05-28Волгоград</v>
      </c>
    </row>
    <row r="212" spans="1:10" ht="14.25" customHeight="1" x14ac:dyDescent="0.3">
      <c r="A212" s="14">
        <v>43976</v>
      </c>
      <c r="B212" s="4" t="s">
        <v>17</v>
      </c>
      <c r="C212" s="4">
        <v>38740.5</v>
      </c>
      <c r="D212" s="26">
        <v>3561655.5</v>
      </c>
      <c r="E212" s="5">
        <f>IFERROR(VLOOKUP(J212,Sheet2!C212:F715,2),0)</f>
        <v>21</v>
      </c>
      <c r="F212" s="5">
        <f>IFERROR(VLOOKUP(J212,Sheet2!C212:F715,3),0)</f>
        <v>2330</v>
      </c>
      <c r="G212" s="5">
        <f>IFERROR(VLOOKUP(J212, Sheet2!C212:F715,4),0)</f>
        <v>2142</v>
      </c>
      <c r="H212" s="12">
        <f t="shared" si="9"/>
        <v>169602.64285714287</v>
      </c>
      <c r="I212">
        <f t="shared" si="10"/>
        <v>22</v>
      </c>
      <c r="J212" t="str">
        <f t="shared" si="11"/>
        <v>2020-05-25Казань</v>
      </c>
    </row>
    <row r="213" spans="1:10" ht="14.25" customHeight="1" x14ac:dyDescent="0.3">
      <c r="A213" s="15">
        <v>43951</v>
      </c>
      <c r="B213" s="6" t="s">
        <v>17</v>
      </c>
      <c r="C213" s="6">
        <v>31231.5</v>
      </c>
      <c r="D213" s="27">
        <v>2853310.5</v>
      </c>
      <c r="E213" s="5">
        <f>IFERROR(VLOOKUP(J213,Sheet2!C213:F716,2),0)</f>
        <v>0</v>
      </c>
      <c r="F213" s="5">
        <f>IFERROR(VLOOKUP(J213,Sheet2!C213:F716,3),0)</f>
        <v>0</v>
      </c>
      <c r="G213" s="5">
        <f>IFERROR(VLOOKUP(J213, Sheet2!C213:F716,4),0)</f>
        <v>0</v>
      </c>
      <c r="H213" s="12">
        <f t="shared" si="9"/>
        <v>0</v>
      </c>
      <c r="I213">
        <f t="shared" si="10"/>
        <v>18</v>
      </c>
      <c r="J213" t="str">
        <f t="shared" si="11"/>
        <v>2020-04-30Казань</v>
      </c>
    </row>
    <row r="214" spans="1:10" ht="14.25" customHeight="1" x14ac:dyDescent="0.3">
      <c r="A214" s="14">
        <v>43961</v>
      </c>
      <c r="B214" s="4" t="s">
        <v>17</v>
      </c>
      <c r="C214" s="4">
        <v>37489.5</v>
      </c>
      <c r="D214" s="26">
        <v>3549097.5</v>
      </c>
      <c r="E214" s="5">
        <f>IFERROR(VLOOKUP(J214,Sheet2!C214:F717,2),0)</f>
        <v>0</v>
      </c>
      <c r="F214" s="5">
        <f>IFERROR(VLOOKUP(J214,Sheet2!C214:F717,3),0)</f>
        <v>0</v>
      </c>
      <c r="G214" s="5">
        <f>IFERROR(VLOOKUP(J214, Sheet2!C214:F717,4),0)</f>
        <v>0</v>
      </c>
      <c r="H214" s="12">
        <f t="shared" si="9"/>
        <v>0</v>
      </c>
      <c r="I214">
        <f t="shared" si="10"/>
        <v>19</v>
      </c>
      <c r="J214" t="str">
        <f t="shared" si="11"/>
        <v>2020-05-10Казань</v>
      </c>
    </row>
    <row r="215" spans="1:10" ht="14.25" customHeight="1" x14ac:dyDescent="0.3">
      <c r="A215" s="15">
        <v>43959</v>
      </c>
      <c r="B215" s="6" t="s">
        <v>17</v>
      </c>
      <c r="C215" s="6">
        <v>34399.5</v>
      </c>
      <c r="D215" s="27">
        <v>3201358.5</v>
      </c>
      <c r="E215" s="5">
        <f>IFERROR(VLOOKUP(J215,Sheet2!C215:F718,2),0)</f>
        <v>0</v>
      </c>
      <c r="F215" s="5">
        <f>IFERROR(VLOOKUP(J215,Sheet2!C215:F718,3),0)</f>
        <v>0</v>
      </c>
      <c r="G215" s="5">
        <f>IFERROR(VLOOKUP(J215, Sheet2!C215:F718,4),0)</f>
        <v>0</v>
      </c>
      <c r="H215" s="12">
        <f t="shared" si="9"/>
        <v>0</v>
      </c>
      <c r="I215">
        <f t="shared" si="10"/>
        <v>19</v>
      </c>
      <c r="J215" t="str">
        <f t="shared" si="11"/>
        <v>2020-05-08Казань</v>
      </c>
    </row>
    <row r="216" spans="1:10" ht="14.25" customHeight="1" x14ac:dyDescent="0.3">
      <c r="A216" s="14">
        <v>43958</v>
      </c>
      <c r="B216" s="4" t="s">
        <v>17</v>
      </c>
      <c r="C216" s="4">
        <v>32851.5</v>
      </c>
      <c r="D216" s="26">
        <v>2934504</v>
      </c>
      <c r="E216" s="5">
        <f>IFERROR(VLOOKUP(J216,Sheet2!C216:F719,2),0)</f>
        <v>0</v>
      </c>
      <c r="F216" s="5">
        <f>IFERROR(VLOOKUP(J216,Sheet2!C216:F719,3),0)</f>
        <v>0</v>
      </c>
      <c r="G216" s="5">
        <f>IFERROR(VLOOKUP(J216, Sheet2!C216:F719,4),0)</f>
        <v>0</v>
      </c>
      <c r="H216" s="12">
        <f t="shared" si="9"/>
        <v>0</v>
      </c>
      <c r="I216">
        <f t="shared" si="10"/>
        <v>19</v>
      </c>
      <c r="J216" t="str">
        <f t="shared" si="11"/>
        <v>2020-05-07Казань</v>
      </c>
    </row>
    <row r="217" spans="1:10" ht="14.25" customHeight="1" x14ac:dyDescent="0.3">
      <c r="A217" s="15">
        <v>43975</v>
      </c>
      <c r="B217" s="6" t="s">
        <v>17</v>
      </c>
      <c r="C217" s="6">
        <v>38194.5</v>
      </c>
      <c r="D217" s="27">
        <v>3449302.5</v>
      </c>
      <c r="E217" s="5">
        <f>IFERROR(VLOOKUP(J217,Sheet2!C217:F720,2),0)</f>
        <v>21</v>
      </c>
      <c r="F217" s="5">
        <f>IFERROR(VLOOKUP(J217,Sheet2!C217:F720,3),0)</f>
        <v>2254</v>
      </c>
      <c r="G217" s="5">
        <f>IFERROR(VLOOKUP(J217, Sheet2!C217:F720,4),0)</f>
        <v>2061</v>
      </c>
      <c r="H217" s="12">
        <f t="shared" si="9"/>
        <v>164252.5</v>
      </c>
      <c r="I217">
        <f t="shared" si="10"/>
        <v>21</v>
      </c>
      <c r="J217" t="str">
        <f t="shared" si="11"/>
        <v>2020-05-24Казань</v>
      </c>
    </row>
    <row r="218" spans="1:10" ht="14.25" customHeight="1" x14ac:dyDescent="0.3">
      <c r="A218" s="14">
        <v>43982</v>
      </c>
      <c r="B218" s="4" t="s">
        <v>17</v>
      </c>
      <c r="C218" s="4">
        <v>42423</v>
      </c>
      <c r="D218" s="26">
        <v>3994153.5</v>
      </c>
      <c r="E218" s="5">
        <f>IFERROR(VLOOKUP(J218,Sheet2!C218:F721,2),0)</f>
        <v>23</v>
      </c>
      <c r="F218" s="5">
        <f>IFERROR(VLOOKUP(J218,Sheet2!C218:F721,3),0)</f>
        <v>2522</v>
      </c>
      <c r="G218" s="5">
        <f>IFERROR(VLOOKUP(J218, Sheet2!C218:F721,4),0)</f>
        <v>2295</v>
      </c>
      <c r="H218" s="12">
        <f t="shared" si="9"/>
        <v>173658.84782608695</v>
      </c>
      <c r="I218">
        <f t="shared" si="10"/>
        <v>22</v>
      </c>
      <c r="J218" t="str">
        <f t="shared" si="11"/>
        <v>2020-05-31Казань</v>
      </c>
    </row>
    <row r="219" spans="1:10" ht="14.25" customHeight="1" x14ac:dyDescent="0.3">
      <c r="A219" s="15">
        <v>43981</v>
      </c>
      <c r="B219" s="6" t="s">
        <v>17</v>
      </c>
      <c r="C219" s="6">
        <v>48286.5</v>
      </c>
      <c r="D219" s="27">
        <v>4456441.5</v>
      </c>
      <c r="E219" s="5">
        <f>IFERROR(VLOOKUP(J219,Sheet2!C219:F722,2),0)</f>
        <v>22</v>
      </c>
      <c r="F219" s="5">
        <f>IFERROR(VLOOKUP(J219,Sheet2!C219:F722,3),0)</f>
        <v>2793</v>
      </c>
      <c r="G219" s="5">
        <f>IFERROR(VLOOKUP(J219, Sheet2!C219:F722,4),0)</f>
        <v>2539</v>
      </c>
      <c r="H219" s="12">
        <f t="shared" si="9"/>
        <v>202565.52272727274</v>
      </c>
      <c r="I219">
        <f t="shared" si="10"/>
        <v>22</v>
      </c>
      <c r="J219" t="str">
        <f t="shared" si="11"/>
        <v>2020-05-30Казань</v>
      </c>
    </row>
    <row r="220" spans="1:10" ht="14.25" customHeight="1" x14ac:dyDescent="0.3">
      <c r="A220" s="14">
        <v>43979</v>
      </c>
      <c r="B220" s="4" t="s">
        <v>17</v>
      </c>
      <c r="C220" s="4">
        <v>41442</v>
      </c>
      <c r="D220" s="26">
        <v>3893680.5</v>
      </c>
      <c r="E220" s="5">
        <f>IFERROR(VLOOKUP(J220,Sheet2!C220:F723,2),0)</f>
        <v>22</v>
      </c>
      <c r="F220" s="5">
        <f>IFERROR(VLOOKUP(J220,Sheet2!C220:F723,3),0)</f>
        <v>2454</v>
      </c>
      <c r="G220" s="5">
        <f>IFERROR(VLOOKUP(J220, Sheet2!C220:F723,4),0)</f>
        <v>2239</v>
      </c>
      <c r="H220" s="12">
        <f t="shared" si="9"/>
        <v>176985.47727272726</v>
      </c>
      <c r="I220">
        <f t="shared" si="10"/>
        <v>22</v>
      </c>
      <c r="J220" t="str">
        <f t="shared" si="11"/>
        <v>2020-05-28Казань</v>
      </c>
    </row>
    <row r="221" spans="1:10" ht="14.25" customHeight="1" x14ac:dyDescent="0.3">
      <c r="A221" s="15">
        <v>43967</v>
      </c>
      <c r="B221" s="6" t="s">
        <v>18</v>
      </c>
      <c r="C221" s="6">
        <v>18600</v>
      </c>
      <c r="D221" s="27">
        <v>1601425.5</v>
      </c>
      <c r="E221" s="5">
        <f>IFERROR(VLOOKUP(J221,Sheet2!C221:F724,2),0)</f>
        <v>15</v>
      </c>
      <c r="F221" s="5">
        <f>IFERROR(VLOOKUP(J221,Sheet2!C221:F724,3),0)</f>
        <v>1111</v>
      </c>
      <c r="G221" s="5">
        <f>IFERROR(VLOOKUP(J221, Sheet2!C221:F724,4),0)</f>
        <v>992</v>
      </c>
      <c r="H221" s="12">
        <f t="shared" si="9"/>
        <v>106761.7</v>
      </c>
      <c r="I221">
        <f t="shared" si="10"/>
        <v>20</v>
      </c>
      <c r="J221" t="str">
        <f t="shared" si="11"/>
        <v>2020-05-16Пермь</v>
      </c>
    </row>
    <row r="222" spans="1:10" ht="14.25" customHeight="1" x14ac:dyDescent="0.3">
      <c r="A222" s="14">
        <v>43970</v>
      </c>
      <c r="B222" s="4" t="s">
        <v>18</v>
      </c>
      <c r="C222" s="4">
        <v>16638</v>
      </c>
      <c r="D222" s="26">
        <v>1364847</v>
      </c>
      <c r="E222" s="5">
        <f>IFERROR(VLOOKUP(J222,Sheet2!C222:F725,2),0)</f>
        <v>16</v>
      </c>
      <c r="F222" s="5">
        <f>IFERROR(VLOOKUP(J222,Sheet2!C222:F725,3),0)</f>
        <v>1012</v>
      </c>
      <c r="G222" s="5">
        <f>IFERROR(VLOOKUP(J222, Sheet2!C222:F725,4),0)</f>
        <v>900</v>
      </c>
      <c r="H222" s="12">
        <f t="shared" si="9"/>
        <v>85302.9375</v>
      </c>
      <c r="I222">
        <f t="shared" si="10"/>
        <v>21</v>
      </c>
      <c r="J222" t="str">
        <f t="shared" si="11"/>
        <v>2020-05-19Пермь</v>
      </c>
    </row>
    <row r="223" spans="1:10" ht="14.25" customHeight="1" x14ac:dyDescent="0.3">
      <c r="A223" s="15">
        <v>43968</v>
      </c>
      <c r="B223" s="6" t="s">
        <v>18</v>
      </c>
      <c r="C223" s="6">
        <v>15609</v>
      </c>
      <c r="D223" s="27">
        <v>1377577.5</v>
      </c>
      <c r="E223" s="5">
        <f>IFERROR(VLOOKUP(J223,Sheet2!C223:F726,2),0)</f>
        <v>15</v>
      </c>
      <c r="F223" s="5">
        <f>IFERROR(VLOOKUP(J223,Sheet2!C223:F726,3),0)</f>
        <v>971</v>
      </c>
      <c r="G223" s="5">
        <f>IFERROR(VLOOKUP(J223, Sheet2!C223:F726,4),0)</f>
        <v>856</v>
      </c>
      <c r="H223" s="12">
        <f t="shared" si="9"/>
        <v>91838.5</v>
      </c>
      <c r="I223">
        <f t="shared" si="10"/>
        <v>20</v>
      </c>
      <c r="J223" t="str">
        <f t="shared" si="11"/>
        <v>2020-05-17Пермь</v>
      </c>
    </row>
    <row r="224" spans="1:10" ht="14.25" customHeight="1" x14ac:dyDescent="0.3">
      <c r="A224" s="14">
        <v>43960</v>
      </c>
      <c r="B224" s="4" t="s">
        <v>18</v>
      </c>
      <c r="C224" s="4">
        <v>13948.5</v>
      </c>
      <c r="D224" s="26">
        <v>1222932</v>
      </c>
      <c r="E224" s="5">
        <f>IFERROR(VLOOKUP(J224,Sheet2!C224:F727,2),0)</f>
        <v>0</v>
      </c>
      <c r="F224" s="5">
        <f>IFERROR(VLOOKUP(J224,Sheet2!C224:F727,3),0)</f>
        <v>0</v>
      </c>
      <c r="G224" s="5">
        <f>IFERROR(VLOOKUP(J224, Sheet2!C224:F727,4),0)</f>
        <v>0</v>
      </c>
      <c r="H224" s="12">
        <f t="shared" si="9"/>
        <v>0</v>
      </c>
      <c r="I224">
        <f t="shared" si="10"/>
        <v>19</v>
      </c>
      <c r="J224" t="str">
        <f t="shared" si="11"/>
        <v>2020-05-09Пермь</v>
      </c>
    </row>
    <row r="225" spans="1:10" ht="14.25" customHeight="1" x14ac:dyDescent="0.3">
      <c r="A225" s="15">
        <v>43955</v>
      </c>
      <c r="B225" s="6" t="s">
        <v>18</v>
      </c>
      <c r="C225" s="6">
        <v>12301.5</v>
      </c>
      <c r="D225" s="27">
        <v>1085211</v>
      </c>
      <c r="E225" s="5">
        <f>IFERROR(VLOOKUP(J225,Sheet2!C225:F728,2),0)</f>
        <v>0</v>
      </c>
      <c r="F225" s="5">
        <f>IFERROR(VLOOKUP(J225,Sheet2!C225:F728,3),0)</f>
        <v>0</v>
      </c>
      <c r="G225" s="5">
        <f>IFERROR(VLOOKUP(J225, Sheet2!C225:F728,4),0)</f>
        <v>0</v>
      </c>
      <c r="H225" s="12">
        <f t="shared" si="9"/>
        <v>0</v>
      </c>
      <c r="I225">
        <f t="shared" si="10"/>
        <v>19</v>
      </c>
      <c r="J225" t="str">
        <f t="shared" si="11"/>
        <v>2020-05-04Пермь</v>
      </c>
    </row>
    <row r="226" spans="1:10" ht="14.25" customHeight="1" x14ac:dyDescent="0.3">
      <c r="A226" s="14">
        <v>43950</v>
      </c>
      <c r="B226" s="4" t="s">
        <v>18</v>
      </c>
      <c r="C226" s="4">
        <v>13014</v>
      </c>
      <c r="D226" s="26">
        <v>1115992.5</v>
      </c>
      <c r="E226" s="5">
        <f>IFERROR(VLOOKUP(J226,Sheet2!C226:F729,2),0)</f>
        <v>0</v>
      </c>
      <c r="F226" s="5">
        <f>IFERROR(VLOOKUP(J226,Sheet2!C226:F729,3),0)</f>
        <v>0</v>
      </c>
      <c r="G226" s="5">
        <f>IFERROR(VLOOKUP(J226, Sheet2!C226:F729,4),0)</f>
        <v>0</v>
      </c>
      <c r="H226" s="12">
        <f t="shared" si="9"/>
        <v>0</v>
      </c>
      <c r="I226">
        <f t="shared" si="10"/>
        <v>18</v>
      </c>
      <c r="J226" t="str">
        <f t="shared" si="11"/>
        <v>2020-04-29Пермь</v>
      </c>
    </row>
    <row r="227" spans="1:10" ht="14.25" customHeight="1" x14ac:dyDescent="0.3">
      <c r="A227" s="15">
        <v>43953</v>
      </c>
      <c r="B227" s="6" t="s">
        <v>18</v>
      </c>
      <c r="C227" s="6">
        <v>12313.5</v>
      </c>
      <c r="D227" s="27">
        <v>1053220.5</v>
      </c>
      <c r="E227" s="5">
        <f>IFERROR(VLOOKUP(J227,Sheet2!C227:F730,2),0)</f>
        <v>0</v>
      </c>
      <c r="F227" s="5">
        <f>IFERROR(VLOOKUP(J227,Sheet2!C227:F730,3),0)</f>
        <v>0</v>
      </c>
      <c r="G227" s="5">
        <f>IFERROR(VLOOKUP(J227, Sheet2!C227:F730,4),0)</f>
        <v>0</v>
      </c>
      <c r="H227" s="12">
        <f t="shared" si="9"/>
        <v>0</v>
      </c>
      <c r="I227">
        <f t="shared" si="10"/>
        <v>18</v>
      </c>
      <c r="J227" t="str">
        <f t="shared" si="11"/>
        <v>2020-05-02Пермь</v>
      </c>
    </row>
    <row r="228" spans="1:10" ht="14.25" customHeight="1" x14ac:dyDescent="0.3">
      <c r="A228" s="14">
        <v>43977</v>
      </c>
      <c r="B228" s="4" t="s">
        <v>18</v>
      </c>
      <c r="C228" s="4">
        <v>17391</v>
      </c>
      <c r="D228" s="26">
        <v>1489132.5</v>
      </c>
      <c r="E228" s="5">
        <f>IFERROR(VLOOKUP(J228,Sheet2!C228:F731,2),0)</f>
        <v>17</v>
      </c>
      <c r="F228" s="5">
        <f>IFERROR(VLOOKUP(J228,Sheet2!C228:F731,3),0)</f>
        <v>1140</v>
      </c>
      <c r="G228" s="5">
        <f>IFERROR(VLOOKUP(J228, Sheet2!C228:F731,4),0)</f>
        <v>1016</v>
      </c>
      <c r="H228" s="12">
        <f t="shared" si="9"/>
        <v>87596.029411764699</v>
      </c>
      <c r="I228">
        <f t="shared" si="10"/>
        <v>22</v>
      </c>
      <c r="J228" t="str">
        <f t="shared" si="11"/>
        <v>2020-05-26Пермь</v>
      </c>
    </row>
    <row r="229" spans="1:10" ht="14.25" customHeight="1" x14ac:dyDescent="0.3">
      <c r="A229" s="15">
        <v>43952</v>
      </c>
      <c r="B229" s="6" t="s">
        <v>18</v>
      </c>
      <c r="C229" s="6">
        <v>17113.5</v>
      </c>
      <c r="D229" s="27">
        <v>1465842</v>
      </c>
      <c r="E229" s="5">
        <f>IFERROR(VLOOKUP(J229,Sheet2!C229:F732,2),0)</f>
        <v>0</v>
      </c>
      <c r="F229" s="5">
        <f>IFERROR(VLOOKUP(J229,Sheet2!C229:F732,3),0)</f>
        <v>0</v>
      </c>
      <c r="G229" s="5">
        <f>IFERROR(VLOOKUP(J229, Sheet2!C229:F732,4),0)</f>
        <v>0</v>
      </c>
      <c r="H229" s="12">
        <f t="shared" si="9"/>
        <v>0</v>
      </c>
      <c r="I229">
        <f t="shared" si="10"/>
        <v>18</v>
      </c>
      <c r="J229" t="str">
        <f t="shared" si="11"/>
        <v>2020-05-01Пермь</v>
      </c>
    </row>
    <row r="230" spans="1:10" ht="14.25" customHeight="1" x14ac:dyDescent="0.3">
      <c r="A230" s="14">
        <v>43963</v>
      </c>
      <c r="B230" s="4" t="s">
        <v>18</v>
      </c>
      <c r="C230" s="4">
        <v>12802.5</v>
      </c>
      <c r="D230" s="26">
        <v>1123830</v>
      </c>
      <c r="E230" s="5">
        <f>IFERROR(VLOOKUP(J230,Sheet2!C230:F733,2),0)</f>
        <v>0</v>
      </c>
      <c r="F230" s="5">
        <f>IFERROR(VLOOKUP(J230,Sheet2!C230:F733,3),0)</f>
        <v>0</v>
      </c>
      <c r="G230" s="5">
        <f>IFERROR(VLOOKUP(J230, Sheet2!C230:F733,4),0)</f>
        <v>0</v>
      </c>
      <c r="H230" s="12">
        <f t="shared" si="9"/>
        <v>0</v>
      </c>
      <c r="I230">
        <f t="shared" si="10"/>
        <v>20</v>
      </c>
      <c r="J230" t="str">
        <f t="shared" si="11"/>
        <v>2020-05-12Пермь</v>
      </c>
    </row>
    <row r="231" spans="1:10" ht="14.25" customHeight="1" x14ac:dyDescent="0.3">
      <c r="A231" s="15">
        <v>43972</v>
      </c>
      <c r="B231" s="6" t="s">
        <v>18</v>
      </c>
      <c r="C231" s="6">
        <v>16554</v>
      </c>
      <c r="D231" s="27">
        <v>1380751.5</v>
      </c>
      <c r="E231" s="5">
        <f>IFERROR(VLOOKUP(J231,Sheet2!C231:F734,2),0)</f>
        <v>17</v>
      </c>
      <c r="F231" s="5">
        <f>IFERROR(VLOOKUP(J231,Sheet2!C231:F734,3),0)</f>
        <v>1045</v>
      </c>
      <c r="G231" s="5">
        <f>IFERROR(VLOOKUP(J231, Sheet2!C231:F734,4),0)</f>
        <v>930</v>
      </c>
      <c r="H231" s="12">
        <f t="shared" si="9"/>
        <v>81220.676470588238</v>
      </c>
      <c r="I231">
        <f t="shared" si="10"/>
        <v>21</v>
      </c>
      <c r="J231" t="str">
        <f t="shared" si="11"/>
        <v>2020-05-21Пермь</v>
      </c>
    </row>
    <row r="232" spans="1:10" ht="14.25" customHeight="1" x14ac:dyDescent="0.3">
      <c r="A232" s="14">
        <v>43971</v>
      </c>
      <c r="B232" s="4" t="s">
        <v>18</v>
      </c>
      <c r="C232" s="4">
        <v>17329.5</v>
      </c>
      <c r="D232" s="26">
        <v>1430254.5</v>
      </c>
      <c r="E232" s="5">
        <f>IFERROR(VLOOKUP(J232,Sheet2!C232:F735,2),0)</f>
        <v>16</v>
      </c>
      <c r="F232" s="5">
        <f>IFERROR(VLOOKUP(J232,Sheet2!C232:F735,3),0)</f>
        <v>1050</v>
      </c>
      <c r="G232" s="5">
        <f>IFERROR(VLOOKUP(J232, Sheet2!C232:F735,4),0)</f>
        <v>938</v>
      </c>
      <c r="H232" s="12">
        <f t="shared" si="9"/>
        <v>89390.90625</v>
      </c>
      <c r="I232">
        <f t="shared" si="10"/>
        <v>21</v>
      </c>
      <c r="J232" t="str">
        <f t="shared" si="11"/>
        <v>2020-05-20Пермь</v>
      </c>
    </row>
    <row r="233" spans="1:10" ht="14.25" customHeight="1" x14ac:dyDescent="0.3">
      <c r="A233" s="15">
        <v>43956</v>
      </c>
      <c r="B233" s="6" t="s">
        <v>18</v>
      </c>
      <c r="C233" s="6">
        <v>15987</v>
      </c>
      <c r="D233" s="27">
        <v>1384179</v>
      </c>
      <c r="E233" s="5">
        <f>IFERROR(VLOOKUP(J233,Sheet2!C233:F736,2),0)</f>
        <v>0</v>
      </c>
      <c r="F233" s="5">
        <f>IFERROR(VLOOKUP(J233,Sheet2!C233:F736,3),0)</f>
        <v>0</v>
      </c>
      <c r="G233" s="5">
        <f>IFERROR(VLOOKUP(J233, Sheet2!C233:F736,4),0)</f>
        <v>0</v>
      </c>
      <c r="H233" s="12">
        <f t="shared" si="9"/>
        <v>0</v>
      </c>
      <c r="I233">
        <f t="shared" si="10"/>
        <v>19</v>
      </c>
      <c r="J233" t="str">
        <f t="shared" si="11"/>
        <v>2020-05-05Пермь</v>
      </c>
    </row>
    <row r="234" spans="1:10" ht="14.25" customHeight="1" x14ac:dyDescent="0.3">
      <c r="A234" s="14">
        <v>43949</v>
      </c>
      <c r="B234" s="4" t="s">
        <v>18</v>
      </c>
      <c r="C234" s="4">
        <v>13303.5</v>
      </c>
      <c r="D234" s="26">
        <v>1102887</v>
      </c>
      <c r="E234" s="5">
        <f>IFERROR(VLOOKUP(J234,Sheet2!C234:F737,2),0)</f>
        <v>0</v>
      </c>
      <c r="F234" s="5">
        <f>IFERROR(VLOOKUP(J234,Sheet2!C234:F737,3),0)</f>
        <v>0</v>
      </c>
      <c r="G234" s="5">
        <f>IFERROR(VLOOKUP(J234, Sheet2!C234:F737,4),0)</f>
        <v>0</v>
      </c>
      <c r="H234" s="12">
        <f t="shared" si="9"/>
        <v>0</v>
      </c>
      <c r="I234">
        <f t="shared" si="10"/>
        <v>18</v>
      </c>
      <c r="J234" t="str">
        <f t="shared" si="11"/>
        <v>2020-04-28Пермь</v>
      </c>
    </row>
    <row r="235" spans="1:10" ht="14.25" customHeight="1" x14ac:dyDescent="0.3">
      <c r="A235" s="15">
        <v>43964</v>
      </c>
      <c r="B235" s="6" t="s">
        <v>18</v>
      </c>
      <c r="C235" s="6">
        <v>14305.5</v>
      </c>
      <c r="D235" s="27">
        <v>1243507.5</v>
      </c>
      <c r="E235" s="5">
        <f>IFERROR(VLOOKUP(J235,Sheet2!C235:F738,2),0)</f>
        <v>0</v>
      </c>
      <c r="F235" s="5">
        <f>IFERROR(VLOOKUP(J235,Sheet2!C235:F738,3),0)</f>
        <v>0</v>
      </c>
      <c r="G235" s="5">
        <f>IFERROR(VLOOKUP(J235, Sheet2!C235:F738,4),0)</f>
        <v>0</v>
      </c>
      <c r="H235" s="12">
        <f t="shared" si="9"/>
        <v>0</v>
      </c>
      <c r="I235">
        <f t="shared" si="10"/>
        <v>20</v>
      </c>
      <c r="J235" t="str">
        <f t="shared" si="11"/>
        <v>2020-05-13Пермь</v>
      </c>
    </row>
    <row r="236" spans="1:10" ht="14.25" customHeight="1" x14ac:dyDescent="0.3">
      <c r="A236" s="14">
        <v>43954</v>
      </c>
      <c r="B236" s="4" t="s">
        <v>18</v>
      </c>
      <c r="C236" s="4">
        <v>12924</v>
      </c>
      <c r="D236" s="26">
        <v>1120009.5</v>
      </c>
      <c r="E236" s="5">
        <f>IFERROR(VLOOKUP(J236,Sheet2!C236:F739,2),0)</f>
        <v>0</v>
      </c>
      <c r="F236" s="5">
        <f>IFERROR(VLOOKUP(J236,Sheet2!C236:F739,3),0)</f>
        <v>0</v>
      </c>
      <c r="G236" s="5">
        <f>IFERROR(VLOOKUP(J236, Sheet2!C236:F739,4),0)</f>
        <v>0</v>
      </c>
      <c r="H236" s="12">
        <f t="shared" si="9"/>
        <v>0</v>
      </c>
      <c r="I236">
        <f t="shared" si="10"/>
        <v>18</v>
      </c>
      <c r="J236" t="str">
        <f t="shared" si="11"/>
        <v>2020-05-03Пермь</v>
      </c>
    </row>
    <row r="237" spans="1:10" ht="14.25" customHeight="1" x14ac:dyDescent="0.3">
      <c r="A237" s="15">
        <v>43957</v>
      </c>
      <c r="B237" s="6" t="s">
        <v>18</v>
      </c>
      <c r="C237" s="6">
        <v>14061</v>
      </c>
      <c r="D237" s="27">
        <v>1221057</v>
      </c>
      <c r="E237" s="5">
        <f>IFERROR(VLOOKUP(J237,Sheet2!C237:F740,2),0)</f>
        <v>0</v>
      </c>
      <c r="F237" s="5">
        <f>IFERROR(VLOOKUP(J237,Sheet2!C237:F740,3),0)</f>
        <v>0</v>
      </c>
      <c r="G237" s="5">
        <f>IFERROR(VLOOKUP(J237, Sheet2!C237:F740,4),0)</f>
        <v>0</v>
      </c>
      <c r="H237" s="12">
        <f t="shared" si="9"/>
        <v>0</v>
      </c>
      <c r="I237">
        <f t="shared" si="10"/>
        <v>19</v>
      </c>
      <c r="J237" t="str">
        <f t="shared" si="11"/>
        <v>2020-05-06Пермь</v>
      </c>
    </row>
    <row r="238" spans="1:10" ht="14.25" customHeight="1" x14ac:dyDescent="0.3">
      <c r="A238" s="14">
        <v>43974</v>
      </c>
      <c r="B238" s="4" t="s">
        <v>18</v>
      </c>
      <c r="C238" s="4">
        <v>21958.5</v>
      </c>
      <c r="D238" s="26">
        <v>1854001.5</v>
      </c>
      <c r="E238" s="5">
        <f>IFERROR(VLOOKUP(J238,Sheet2!C238:F741,2),0)</f>
        <v>17</v>
      </c>
      <c r="F238" s="5">
        <f>IFERROR(VLOOKUP(J238,Sheet2!C238:F741,3),0)</f>
        <v>1294</v>
      </c>
      <c r="G238" s="5">
        <f>IFERROR(VLOOKUP(J238, Sheet2!C238:F741,4),0)</f>
        <v>1155</v>
      </c>
      <c r="H238" s="12">
        <f t="shared" si="9"/>
        <v>109058.91176470589</v>
      </c>
      <c r="I238">
        <f t="shared" si="10"/>
        <v>21</v>
      </c>
      <c r="J238" t="str">
        <f t="shared" si="11"/>
        <v>2020-05-23Пермь</v>
      </c>
    </row>
    <row r="239" spans="1:10" ht="14.25" customHeight="1" x14ac:dyDescent="0.3">
      <c r="A239" s="15">
        <v>43976</v>
      </c>
      <c r="B239" s="6" t="s">
        <v>18</v>
      </c>
      <c r="C239" s="6">
        <v>17211</v>
      </c>
      <c r="D239" s="27">
        <v>1507867.5</v>
      </c>
      <c r="E239" s="5">
        <f>IFERROR(VLOOKUP(J239,Sheet2!C239:F742,2),0)</f>
        <v>17</v>
      </c>
      <c r="F239" s="5">
        <f>IFERROR(VLOOKUP(J239,Sheet2!C239:F742,3),0)</f>
        <v>1142</v>
      </c>
      <c r="G239" s="5">
        <f>IFERROR(VLOOKUP(J239, Sheet2!C239:F742,4),0)</f>
        <v>1020</v>
      </c>
      <c r="H239" s="12">
        <f t="shared" si="9"/>
        <v>88698.088235294112</v>
      </c>
      <c r="I239">
        <f t="shared" si="10"/>
        <v>22</v>
      </c>
      <c r="J239" t="str">
        <f t="shared" si="11"/>
        <v>2020-05-25Пермь</v>
      </c>
    </row>
    <row r="240" spans="1:10" ht="14.25" customHeight="1" x14ac:dyDescent="0.3">
      <c r="A240" s="14">
        <v>43951</v>
      </c>
      <c r="B240" s="4" t="s">
        <v>18</v>
      </c>
      <c r="C240" s="4">
        <v>12753</v>
      </c>
      <c r="D240" s="26">
        <v>1103068.5</v>
      </c>
      <c r="E240" s="5">
        <f>IFERROR(VLOOKUP(J240,Sheet2!C240:F743,2),0)</f>
        <v>0</v>
      </c>
      <c r="F240" s="5">
        <f>IFERROR(VLOOKUP(J240,Sheet2!C240:F743,3),0)</f>
        <v>0</v>
      </c>
      <c r="G240" s="5">
        <f>IFERROR(VLOOKUP(J240, Sheet2!C240:F743,4),0)</f>
        <v>0</v>
      </c>
      <c r="H240" s="12">
        <f t="shared" si="9"/>
        <v>0</v>
      </c>
      <c r="I240">
        <f t="shared" si="10"/>
        <v>18</v>
      </c>
      <c r="J240" t="str">
        <f t="shared" si="11"/>
        <v>2020-04-30Пермь</v>
      </c>
    </row>
    <row r="241" spans="1:10" ht="14.25" customHeight="1" x14ac:dyDescent="0.3">
      <c r="A241" s="15">
        <v>43961</v>
      </c>
      <c r="B241" s="6" t="s">
        <v>18</v>
      </c>
      <c r="C241" s="6">
        <v>16435.5</v>
      </c>
      <c r="D241" s="27">
        <v>1471537.5</v>
      </c>
      <c r="E241" s="5">
        <f>IFERROR(VLOOKUP(J241,Sheet2!C241:F744,2),0)</f>
        <v>0</v>
      </c>
      <c r="F241" s="5">
        <f>IFERROR(VLOOKUP(J241,Sheet2!C241:F744,3),0)</f>
        <v>0</v>
      </c>
      <c r="G241" s="5">
        <f>IFERROR(VLOOKUP(J241, Sheet2!C241:F744,4),0)</f>
        <v>0</v>
      </c>
      <c r="H241" s="12">
        <f t="shared" si="9"/>
        <v>0</v>
      </c>
      <c r="I241">
        <f t="shared" si="10"/>
        <v>19</v>
      </c>
      <c r="J241" t="str">
        <f t="shared" si="11"/>
        <v>2020-05-10Пермь</v>
      </c>
    </row>
    <row r="242" spans="1:10" ht="14.25" customHeight="1" x14ac:dyDescent="0.3">
      <c r="A242" s="14">
        <v>43959</v>
      </c>
      <c r="B242" s="4" t="s">
        <v>18</v>
      </c>
      <c r="C242" s="4">
        <v>14494.5</v>
      </c>
      <c r="D242" s="26">
        <v>1269786</v>
      </c>
      <c r="E242" s="5">
        <f>IFERROR(VLOOKUP(J242,Sheet2!C242:F745,2),0)</f>
        <v>0</v>
      </c>
      <c r="F242" s="5">
        <f>IFERROR(VLOOKUP(J242,Sheet2!C242:F745,3),0)</f>
        <v>0</v>
      </c>
      <c r="G242" s="5">
        <f>IFERROR(VLOOKUP(J242, Sheet2!C242:F745,4),0)</f>
        <v>0</v>
      </c>
      <c r="H242" s="12">
        <f t="shared" si="9"/>
        <v>0</v>
      </c>
      <c r="I242">
        <f t="shared" si="10"/>
        <v>19</v>
      </c>
      <c r="J242" t="str">
        <f t="shared" si="11"/>
        <v>2020-05-08Пермь</v>
      </c>
    </row>
    <row r="243" spans="1:10" ht="14.25" customHeight="1" x14ac:dyDescent="0.3">
      <c r="A243" s="15">
        <v>43958</v>
      </c>
      <c r="B243" s="6" t="s">
        <v>18</v>
      </c>
      <c r="C243" s="6">
        <v>12705</v>
      </c>
      <c r="D243" s="27">
        <v>1123894.5</v>
      </c>
      <c r="E243" s="5">
        <f>IFERROR(VLOOKUP(J243,Sheet2!C243:F746,2),0)</f>
        <v>0</v>
      </c>
      <c r="F243" s="5">
        <f>IFERROR(VLOOKUP(J243,Sheet2!C243:F746,3),0)</f>
        <v>0</v>
      </c>
      <c r="G243" s="5">
        <f>IFERROR(VLOOKUP(J243, Sheet2!C243:F746,4),0)</f>
        <v>0</v>
      </c>
      <c r="H243" s="12">
        <f t="shared" si="9"/>
        <v>0</v>
      </c>
      <c r="I243">
        <f t="shared" si="10"/>
        <v>19</v>
      </c>
      <c r="J243" t="str">
        <f t="shared" si="11"/>
        <v>2020-05-07Пермь</v>
      </c>
    </row>
    <row r="244" spans="1:10" ht="14.25" customHeight="1" x14ac:dyDescent="0.3">
      <c r="A244" s="14">
        <v>43975</v>
      </c>
      <c r="B244" s="4" t="s">
        <v>18</v>
      </c>
      <c r="C244" s="4">
        <v>18075</v>
      </c>
      <c r="D244" s="26">
        <v>1548099</v>
      </c>
      <c r="E244" s="5">
        <f>IFERROR(VLOOKUP(J244,Sheet2!C244:F747,2),0)</f>
        <v>17</v>
      </c>
      <c r="F244" s="5">
        <f>IFERROR(VLOOKUP(J244,Sheet2!C244:F747,3),0)</f>
        <v>1128</v>
      </c>
      <c r="G244" s="5">
        <f>IFERROR(VLOOKUP(J244, Sheet2!C244:F747,4),0)</f>
        <v>1001</v>
      </c>
      <c r="H244" s="12">
        <f t="shared" si="9"/>
        <v>91064.647058823524</v>
      </c>
      <c r="I244">
        <f t="shared" si="10"/>
        <v>21</v>
      </c>
      <c r="J244" t="str">
        <f t="shared" si="11"/>
        <v>2020-05-24Пермь</v>
      </c>
    </row>
    <row r="245" spans="1:10" ht="14.25" customHeight="1" x14ac:dyDescent="0.3">
      <c r="A245" s="15">
        <v>43967</v>
      </c>
      <c r="B245" s="6" t="s">
        <v>19</v>
      </c>
      <c r="C245" s="6">
        <v>13120.5</v>
      </c>
      <c r="D245" s="27">
        <v>1215033</v>
      </c>
      <c r="E245" s="5">
        <f>IFERROR(VLOOKUP(J245,Sheet2!C245:F748,2),0)</f>
        <v>15</v>
      </c>
      <c r="F245" s="5">
        <f>IFERROR(VLOOKUP(J245,Sheet2!C245:F748,3),0)</f>
        <v>747</v>
      </c>
      <c r="G245" s="5">
        <f>IFERROR(VLOOKUP(J245, Sheet2!C245:F748,4),0)</f>
        <v>647</v>
      </c>
      <c r="H245" s="12">
        <f t="shared" si="9"/>
        <v>81002.2</v>
      </c>
      <c r="I245">
        <f t="shared" si="10"/>
        <v>20</v>
      </c>
      <c r="J245" t="str">
        <f t="shared" si="11"/>
        <v>2020-05-16Ростов-на-Дону</v>
      </c>
    </row>
    <row r="246" spans="1:10" ht="14.25" customHeight="1" x14ac:dyDescent="0.3">
      <c r="A246" s="14">
        <v>43970</v>
      </c>
      <c r="B246" s="4" t="s">
        <v>19</v>
      </c>
      <c r="C246" s="4">
        <v>16237.5</v>
      </c>
      <c r="D246" s="26">
        <v>1403047.5</v>
      </c>
      <c r="E246" s="5">
        <f>IFERROR(VLOOKUP(J246,Sheet2!C246:F749,2),0)</f>
        <v>15</v>
      </c>
      <c r="F246" s="5">
        <f>IFERROR(VLOOKUP(J246,Sheet2!C246:F749,3),0)</f>
        <v>930</v>
      </c>
      <c r="G246" s="5">
        <f>IFERROR(VLOOKUP(J246, Sheet2!C246:F749,4),0)</f>
        <v>827</v>
      </c>
      <c r="H246" s="12">
        <f t="shared" si="9"/>
        <v>93536.5</v>
      </c>
      <c r="I246">
        <f t="shared" si="10"/>
        <v>21</v>
      </c>
      <c r="J246" t="str">
        <f t="shared" si="11"/>
        <v>2020-05-19Ростов-на-Дону</v>
      </c>
    </row>
    <row r="247" spans="1:10" ht="14.25" customHeight="1" x14ac:dyDescent="0.3">
      <c r="A247" s="15">
        <v>43968</v>
      </c>
      <c r="B247" s="6" t="s">
        <v>19</v>
      </c>
      <c r="C247" s="6">
        <v>11967</v>
      </c>
      <c r="D247" s="27">
        <v>1060489.5</v>
      </c>
      <c r="E247" s="5">
        <f>IFERROR(VLOOKUP(J247,Sheet2!C247:F750,2),0)</f>
        <v>15</v>
      </c>
      <c r="F247" s="5">
        <f>IFERROR(VLOOKUP(J247,Sheet2!C247:F750,3),0)</f>
        <v>692</v>
      </c>
      <c r="G247" s="5">
        <f>IFERROR(VLOOKUP(J247, Sheet2!C247:F750,4),0)</f>
        <v>591</v>
      </c>
      <c r="H247" s="12">
        <f t="shared" si="9"/>
        <v>70699.3</v>
      </c>
      <c r="I247">
        <f t="shared" si="10"/>
        <v>20</v>
      </c>
      <c r="J247" t="str">
        <f t="shared" si="11"/>
        <v>2020-05-17Ростов-на-Дону</v>
      </c>
    </row>
    <row r="248" spans="1:10" ht="14.25" customHeight="1" x14ac:dyDescent="0.3">
      <c r="A248" s="14">
        <v>43960</v>
      </c>
      <c r="B248" s="4" t="s">
        <v>19</v>
      </c>
      <c r="C248" s="4">
        <v>12037.5</v>
      </c>
      <c r="D248" s="26">
        <v>1081216.5</v>
      </c>
      <c r="E248" s="5">
        <f>IFERROR(VLOOKUP(J248,Sheet2!C248:F751,2),0)</f>
        <v>0</v>
      </c>
      <c r="F248" s="5">
        <f>IFERROR(VLOOKUP(J248,Sheet2!C248:F751,3),0)</f>
        <v>0</v>
      </c>
      <c r="G248" s="5">
        <f>IFERROR(VLOOKUP(J248, Sheet2!C248:F751,4),0)</f>
        <v>0</v>
      </c>
      <c r="H248" s="12">
        <f t="shared" si="9"/>
        <v>0</v>
      </c>
      <c r="I248">
        <f t="shared" si="10"/>
        <v>19</v>
      </c>
      <c r="J248" t="str">
        <f t="shared" si="11"/>
        <v>2020-05-09Ростов-на-Дону</v>
      </c>
    </row>
    <row r="249" spans="1:10" ht="14.25" customHeight="1" x14ac:dyDescent="0.3">
      <c r="A249" s="15">
        <v>43955</v>
      </c>
      <c r="B249" s="6" t="s">
        <v>19</v>
      </c>
      <c r="C249" s="6">
        <v>7087.5</v>
      </c>
      <c r="D249" s="27">
        <v>610855.5</v>
      </c>
      <c r="E249" s="5">
        <f>IFERROR(VLOOKUP(J249,Sheet2!C249:F752,2),0)</f>
        <v>0</v>
      </c>
      <c r="F249" s="5">
        <f>IFERROR(VLOOKUP(J249,Sheet2!C249:F752,3),0)</f>
        <v>0</v>
      </c>
      <c r="G249" s="5">
        <f>IFERROR(VLOOKUP(J249, Sheet2!C249:F752,4),0)</f>
        <v>0</v>
      </c>
      <c r="H249" s="12">
        <f t="shared" si="9"/>
        <v>0</v>
      </c>
      <c r="I249">
        <f t="shared" si="10"/>
        <v>19</v>
      </c>
      <c r="J249" t="str">
        <f t="shared" si="11"/>
        <v>2020-05-04Ростов-на-Дону</v>
      </c>
    </row>
    <row r="250" spans="1:10" ht="14.25" customHeight="1" x14ac:dyDescent="0.3">
      <c r="A250" s="14">
        <v>43950</v>
      </c>
      <c r="B250" s="4" t="s">
        <v>20</v>
      </c>
      <c r="C250" s="4">
        <v>25816.5</v>
      </c>
      <c r="D250" s="26">
        <v>2360914.5</v>
      </c>
      <c r="E250" s="5">
        <f>IFERROR(VLOOKUP(J250,Sheet2!C250:F753,2),0)</f>
        <v>0</v>
      </c>
      <c r="F250" s="5">
        <f>IFERROR(VLOOKUP(J250,Sheet2!C250:F753,3),0)</f>
        <v>0</v>
      </c>
      <c r="G250" s="5">
        <f>IFERROR(VLOOKUP(J250, Sheet2!C250:F753,4),0)</f>
        <v>0</v>
      </c>
      <c r="H250" s="12">
        <f t="shared" si="9"/>
        <v>0</v>
      </c>
      <c r="I250">
        <f t="shared" si="10"/>
        <v>18</v>
      </c>
      <c r="J250" t="str">
        <f t="shared" si="11"/>
        <v>2020-04-29Краснодар</v>
      </c>
    </row>
    <row r="251" spans="1:10" ht="14.25" customHeight="1" x14ac:dyDescent="0.3">
      <c r="A251" s="15">
        <v>43953</v>
      </c>
      <c r="B251" s="6" t="s">
        <v>19</v>
      </c>
      <c r="C251" s="6">
        <v>4624.5</v>
      </c>
      <c r="D251" s="27">
        <v>433243.5</v>
      </c>
      <c r="E251" s="5">
        <f>IFERROR(VLOOKUP(J251,Sheet2!C251:F754,2),0)</f>
        <v>0</v>
      </c>
      <c r="F251" s="5">
        <f>IFERROR(VLOOKUP(J251,Sheet2!C251:F754,3),0)</f>
        <v>0</v>
      </c>
      <c r="G251" s="5">
        <f>IFERROR(VLOOKUP(J251, Sheet2!C251:F754,4),0)</f>
        <v>0</v>
      </c>
      <c r="H251" s="12">
        <f t="shared" si="9"/>
        <v>0</v>
      </c>
      <c r="I251">
        <f t="shared" si="10"/>
        <v>18</v>
      </c>
      <c r="J251" t="str">
        <f t="shared" si="11"/>
        <v>2020-05-02Ростов-на-Дону</v>
      </c>
    </row>
    <row r="252" spans="1:10" ht="14.25" customHeight="1" x14ac:dyDescent="0.3">
      <c r="A252" s="14">
        <v>43977</v>
      </c>
      <c r="B252" s="4" t="s">
        <v>19</v>
      </c>
      <c r="C252" s="4">
        <v>12259.5</v>
      </c>
      <c r="D252" s="26">
        <v>1152054</v>
      </c>
      <c r="E252" s="5">
        <f>IFERROR(VLOOKUP(J252,Sheet2!C252:F755,2),0)</f>
        <v>15</v>
      </c>
      <c r="F252" s="5">
        <f>IFERROR(VLOOKUP(J252,Sheet2!C252:F755,3),0)</f>
        <v>812</v>
      </c>
      <c r="G252" s="5">
        <f>IFERROR(VLOOKUP(J252, Sheet2!C252:F755,4),0)</f>
        <v>711</v>
      </c>
      <c r="H252" s="12">
        <f t="shared" si="9"/>
        <v>76803.600000000006</v>
      </c>
      <c r="I252">
        <f t="shared" si="10"/>
        <v>22</v>
      </c>
      <c r="J252" t="str">
        <f t="shared" si="11"/>
        <v>2020-05-26Ростов-на-Дону</v>
      </c>
    </row>
    <row r="253" spans="1:10" ht="14.25" customHeight="1" x14ac:dyDescent="0.3">
      <c r="A253" s="15">
        <v>43952</v>
      </c>
      <c r="B253" s="6" t="s">
        <v>19</v>
      </c>
      <c r="C253" s="6">
        <v>5446.5</v>
      </c>
      <c r="D253" s="27">
        <v>505572</v>
      </c>
      <c r="E253" s="5">
        <f>IFERROR(VLOOKUP(J253,Sheet2!C253:F756,2),0)</f>
        <v>0</v>
      </c>
      <c r="F253" s="5">
        <f>IFERROR(VLOOKUP(J253,Sheet2!C253:F756,3),0)</f>
        <v>0</v>
      </c>
      <c r="G253" s="5">
        <f>IFERROR(VLOOKUP(J253, Sheet2!C253:F756,4),0)</f>
        <v>0</v>
      </c>
      <c r="H253" s="12">
        <f t="shared" si="9"/>
        <v>0</v>
      </c>
      <c r="I253">
        <f t="shared" si="10"/>
        <v>18</v>
      </c>
      <c r="J253" t="str">
        <f t="shared" si="11"/>
        <v>2020-05-01Ростов-на-Дону</v>
      </c>
    </row>
    <row r="254" spans="1:10" ht="14.25" customHeight="1" x14ac:dyDescent="0.3">
      <c r="A254" s="14">
        <v>43963</v>
      </c>
      <c r="B254" s="4" t="s">
        <v>19</v>
      </c>
      <c r="C254" s="4">
        <v>11296.5</v>
      </c>
      <c r="D254" s="26">
        <v>989632.5</v>
      </c>
      <c r="E254" s="5">
        <f>IFERROR(VLOOKUP(J254,Sheet2!C254:F757,2),0)</f>
        <v>0</v>
      </c>
      <c r="F254" s="5">
        <f>IFERROR(VLOOKUP(J254,Sheet2!C254:F757,3),0)</f>
        <v>0</v>
      </c>
      <c r="G254" s="5">
        <f>IFERROR(VLOOKUP(J254, Sheet2!C254:F757,4),0)</f>
        <v>0</v>
      </c>
      <c r="H254" s="12">
        <f t="shared" si="9"/>
        <v>0</v>
      </c>
      <c r="I254">
        <f t="shared" si="10"/>
        <v>20</v>
      </c>
      <c r="J254" t="str">
        <f t="shared" si="11"/>
        <v>2020-05-12Ростов-на-Дону</v>
      </c>
    </row>
    <row r="255" spans="1:10" ht="14.25" customHeight="1" x14ac:dyDescent="0.3">
      <c r="A255" s="15">
        <v>43972</v>
      </c>
      <c r="B255" s="6" t="s">
        <v>19</v>
      </c>
      <c r="C255" s="6">
        <v>12135</v>
      </c>
      <c r="D255" s="27">
        <v>1103623.5</v>
      </c>
      <c r="E255" s="5">
        <f>IFERROR(VLOOKUP(J255,Sheet2!C255:F758,2),0)</f>
        <v>15</v>
      </c>
      <c r="F255" s="5">
        <f>IFERROR(VLOOKUP(J255,Sheet2!C255:F758,3),0)</f>
        <v>749</v>
      </c>
      <c r="G255" s="5">
        <f>IFERROR(VLOOKUP(J255, Sheet2!C255:F758,4),0)</f>
        <v>652</v>
      </c>
      <c r="H255" s="12">
        <f t="shared" si="9"/>
        <v>73574.899999999994</v>
      </c>
      <c r="I255">
        <f t="shared" si="10"/>
        <v>21</v>
      </c>
      <c r="J255" t="str">
        <f t="shared" si="11"/>
        <v>2020-05-21Ростов-на-Дону</v>
      </c>
    </row>
    <row r="256" spans="1:10" ht="14.25" customHeight="1" x14ac:dyDescent="0.3">
      <c r="A256" s="14">
        <v>43971</v>
      </c>
      <c r="B256" s="4" t="s">
        <v>19</v>
      </c>
      <c r="C256" s="4">
        <v>12630</v>
      </c>
      <c r="D256" s="26">
        <v>1104858</v>
      </c>
      <c r="E256" s="5">
        <f>IFERROR(VLOOKUP(J256,Sheet2!C256:F759,2),0)</f>
        <v>15</v>
      </c>
      <c r="F256" s="5">
        <f>IFERROR(VLOOKUP(J256,Sheet2!C256:F759,3),0)</f>
        <v>760</v>
      </c>
      <c r="G256" s="5">
        <f>IFERROR(VLOOKUP(J256, Sheet2!C256:F759,4),0)</f>
        <v>664</v>
      </c>
      <c r="H256" s="12">
        <f t="shared" si="9"/>
        <v>73657.2</v>
      </c>
      <c r="I256">
        <f t="shared" si="10"/>
        <v>21</v>
      </c>
      <c r="J256" t="str">
        <f t="shared" si="11"/>
        <v>2020-05-20Ростов-на-Дону</v>
      </c>
    </row>
    <row r="257" spans="1:10" ht="14.25" customHeight="1" x14ac:dyDescent="0.3">
      <c r="A257" s="15">
        <v>43956</v>
      </c>
      <c r="B257" s="6" t="s">
        <v>19</v>
      </c>
      <c r="C257" s="6">
        <v>8223</v>
      </c>
      <c r="D257" s="27">
        <v>694593</v>
      </c>
      <c r="E257" s="5">
        <f>IFERROR(VLOOKUP(J257,Sheet2!C257:F760,2),0)</f>
        <v>0</v>
      </c>
      <c r="F257" s="5">
        <f>IFERROR(VLOOKUP(J257,Sheet2!C257:F760,3),0)</f>
        <v>0</v>
      </c>
      <c r="G257" s="5">
        <f>IFERROR(VLOOKUP(J257, Sheet2!C257:F760,4),0)</f>
        <v>0</v>
      </c>
      <c r="H257" s="12">
        <f t="shared" si="9"/>
        <v>0</v>
      </c>
      <c r="I257">
        <f t="shared" si="10"/>
        <v>19</v>
      </c>
      <c r="J257" t="str">
        <f t="shared" si="11"/>
        <v>2020-05-05Ростов-на-Дону</v>
      </c>
    </row>
    <row r="258" spans="1:10" ht="14.25" customHeight="1" x14ac:dyDescent="0.3">
      <c r="A258" s="14">
        <v>43949</v>
      </c>
      <c r="B258" s="4" t="s">
        <v>20</v>
      </c>
      <c r="C258" s="4">
        <v>25149</v>
      </c>
      <c r="D258" s="26">
        <v>2277072</v>
      </c>
      <c r="E258" s="5">
        <f>IFERROR(VLOOKUP(J258,Sheet2!C258:F761,2),0)</f>
        <v>0</v>
      </c>
      <c r="F258" s="5">
        <f>IFERROR(VLOOKUP(J258,Sheet2!C258:F761,3),0)</f>
        <v>0</v>
      </c>
      <c r="G258" s="5">
        <f>IFERROR(VLOOKUP(J258, Sheet2!C258:F761,4),0)</f>
        <v>0</v>
      </c>
      <c r="H258" s="12">
        <f t="shared" si="9"/>
        <v>0</v>
      </c>
      <c r="I258">
        <f t="shared" si="10"/>
        <v>18</v>
      </c>
      <c r="J258" t="str">
        <f t="shared" si="11"/>
        <v>2020-04-28Краснодар</v>
      </c>
    </row>
    <row r="259" spans="1:10" ht="14.25" customHeight="1" x14ac:dyDescent="0.3">
      <c r="A259" s="15">
        <v>43964</v>
      </c>
      <c r="B259" s="6" t="s">
        <v>19</v>
      </c>
      <c r="C259" s="6">
        <v>10401</v>
      </c>
      <c r="D259" s="27">
        <v>949912.5</v>
      </c>
      <c r="E259" s="5">
        <f>IFERROR(VLOOKUP(J259,Sheet2!C259:F762,2),0)</f>
        <v>0</v>
      </c>
      <c r="F259" s="5">
        <f>IFERROR(VLOOKUP(J259,Sheet2!C259:F762,3),0)</f>
        <v>0</v>
      </c>
      <c r="G259" s="5">
        <f>IFERROR(VLOOKUP(J259, Sheet2!C259:F762,4),0)</f>
        <v>0</v>
      </c>
      <c r="H259" s="12">
        <f t="shared" ref="H259:H322" si="12">IF(VALUE(E259)&gt;0, D259/VALUE(E259), 0)</f>
        <v>0</v>
      </c>
      <c r="I259">
        <f t="shared" ref="I259:I322" si="13">_xlfn.ISOWEEKNUM(A259)</f>
        <v>20</v>
      </c>
      <c r="J259" t="str">
        <f t="shared" ref="J259:J322" si="14">TEXT(A259,"yyyy-mm-dd") &amp; TRIM(B259)</f>
        <v>2020-05-13Ростов-на-Дону</v>
      </c>
    </row>
    <row r="260" spans="1:10" ht="14.25" customHeight="1" x14ac:dyDescent="0.3">
      <c r="A260" s="14">
        <v>43982</v>
      </c>
      <c r="B260" s="4" t="s">
        <v>18</v>
      </c>
      <c r="C260" s="4">
        <v>17689.5</v>
      </c>
      <c r="D260" s="26">
        <v>1592119.5</v>
      </c>
      <c r="E260" s="5">
        <f>IFERROR(VLOOKUP(J260,Sheet2!C260:F763,2),0)</f>
        <v>17</v>
      </c>
      <c r="F260" s="5">
        <f>IFERROR(VLOOKUP(J260,Sheet2!C260:F763,3),0)</f>
        <v>1186</v>
      </c>
      <c r="G260" s="5">
        <f>IFERROR(VLOOKUP(J260, Sheet2!C260:F763,4),0)</f>
        <v>1054</v>
      </c>
      <c r="H260" s="12">
        <f t="shared" si="12"/>
        <v>93654.088235294112</v>
      </c>
      <c r="I260">
        <f t="shared" si="13"/>
        <v>22</v>
      </c>
      <c r="J260" t="str">
        <f t="shared" si="14"/>
        <v>2020-05-31Пермь</v>
      </c>
    </row>
    <row r="261" spans="1:10" ht="14.25" customHeight="1" x14ac:dyDescent="0.3">
      <c r="A261" s="15">
        <v>43954</v>
      </c>
      <c r="B261" s="6" t="s">
        <v>19</v>
      </c>
      <c r="C261" s="6">
        <v>8127</v>
      </c>
      <c r="D261" s="27">
        <v>665302.5</v>
      </c>
      <c r="E261" s="5">
        <f>IFERROR(VLOOKUP(J261,Sheet2!C261:F764,2),0)</f>
        <v>0</v>
      </c>
      <c r="F261" s="5">
        <f>IFERROR(VLOOKUP(J261,Sheet2!C261:F764,3),0)</f>
        <v>0</v>
      </c>
      <c r="G261" s="5">
        <f>IFERROR(VLOOKUP(J261, Sheet2!C261:F764,4),0)</f>
        <v>0</v>
      </c>
      <c r="H261" s="12">
        <f t="shared" si="12"/>
        <v>0</v>
      </c>
      <c r="I261">
        <f t="shared" si="13"/>
        <v>18</v>
      </c>
      <c r="J261" t="str">
        <f t="shared" si="14"/>
        <v>2020-05-03Ростов-на-Дону</v>
      </c>
    </row>
    <row r="262" spans="1:10" ht="14.25" customHeight="1" x14ac:dyDescent="0.3">
      <c r="A262" s="14">
        <v>43981</v>
      </c>
      <c r="B262" s="4" t="s">
        <v>18</v>
      </c>
      <c r="C262" s="4">
        <v>27250.5</v>
      </c>
      <c r="D262" s="26">
        <v>2457252</v>
      </c>
      <c r="E262" s="5">
        <f>IFERROR(VLOOKUP(J262,Sheet2!C262:F765,2),0)</f>
        <v>17</v>
      </c>
      <c r="F262" s="5">
        <f>IFERROR(VLOOKUP(J262,Sheet2!C262:F765,3),0)</f>
        <v>1697</v>
      </c>
      <c r="G262" s="5">
        <f>IFERROR(VLOOKUP(J262, Sheet2!C262:F765,4),0)</f>
        <v>1499</v>
      </c>
      <c r="H262" s="12">
        <f t="shared" si="12"/>
        <v>144544.23529411765</v>
      </c>
      <c r="I262">
        <f t="shared" si="13"/>
        <v>22</v>
      </c>
      <c r="J262" t="str">
        <f t="shared" si="14"/>
        <v>2020-05-30Пермь</v>
      </c>
    </row>
    <row r="263" spans="1:10" ht="14.25" customHeight="1" x14ac:dyDescent="0.3">
      <c r="A263" s="15">
        <v>43957</v>
      </c>
      <c r="B263" s="6" t="s">
        <v>19</v>
      </c>
      <c r="C263" s="6">
        <v>8464.5</v>
      </c>
      <c r="D263" s="27">
        <v>739291.5</v>
      </c>
      <c r="E263" s="5">
        <f>IFERROR(VLOOKUP(J263,Sheet2!C263:F766,2),0)</f>
        <v>0</v>
      </c>
      <c r="F263" s="5">
        <f>IFERROR(VLOOKUP(J263,Sheet2!C263:F766,3),0)</f>
        <v>0</v>
      </c>
      <c r="G263" s="5">
        <f>IFERROR(VLOOKUP(J263, Sheet2!C263:F766,4),0)</f>
        <v>0</v>
      </c>
      <c r="H263" s="12">
        <f t="shared" si="12"/>
        <v>0</v>
      </c>
      <c r="I263">
        <f t="shared" si="13"/>
        <v>19</v>
      </c>
      <c r="J263" t="str">
        <f t="shared" si="14"/>
        <v>2020-05-06Ростов-на-Дону</v>
      </c>
    </row>
    <row r="264" spans="1:10" ht="14.25" customHeight="1" x14ac:dyDescent="0.3">
      <c r="A264" s="14">
        <v>43974</v>
      </c>
      <c r="B264" s="4" t="s">
        <v>19</v>
      </c>
      <c r="C264" s="4">
        <v>14167.5</v>
      </c>
      <c r="D264" s="26">
        <v>1315075.5</v>
      </c>
      <c r="E264" s="5">
        <f>IFERROR(VLOOKUP(J264,Sheet2!C264:F767,2),0)</f>
        <v>15</v>
      </c>
      <c r="F264" s="5">
        <f>IFERROR(VLOOKUP(J264,Sheet2!C264:F767,3),0)</f>
        <v>840</v>
      </c>
      <c r="G264" s="5">
        <f>IFERROR(VLOOKUP(J264, Sheet2!C264:F767,4),0)</f>
        <v>725</v>
      </c>
      <c r="H264" s="12">
        <f t="shared" si="12"/>
        <v>87671.7</v>
      </c>
      <c r="I264">
        <f t="shared" si="13"/>
        <v>21</v>
      </c>
      <c r="J264" t="str">
        <f t="shared" si="14"/>
        <v>2020-05-23Ростов-на-Дону</v>
      </c>
    </row>
    <row r="265" spans="1:10" ht="14.25" customHeight="1" x14ac:dyDescent="0.3">
      <c r="A265" s="15">
        <v>43979</v>
      </c>
      <c r="B265" s="6" t="s">
        <v>18</v>
      </c>
      <c r="C265" s="6">
        <v>16500</v>
      </c>
      <c r="D265" s="27">
        <v>1487928</v>
      </c>
      <c r="E265" s="5">
        <f>IFERROR(VLOOKUP(J265,Sheet2!C265:F768,2),0)</f>
        <v>17</v>
      </c>
      <c r="F265" s="5">
        <f>IFERROR(VLOOKUP(J265,Sheet2!C265:F768,3),0)</f>
        <v>1097</v>
      </c>
      <c r="G265" s="5">
        <f>IFERROR(VLOOKUP(J265, Sheet2!C265:F768,4),0)</f>
        <v>968</v>
      </c>
      <c r="H265" s="12">
        <f t="shared" si="12"/>
        <v>87525.176470588238</v>
      </c>
      <c r="I265">
        <f t="shared" si="13"/>
        <v>22</v>
      </c>
      <c r="J265" t="str">
        <f t="shared" si="14"/>
        <v>2020-05-28Пермь</v>
      </c>
    </row>
    <row r="266" spans="1:10" ht="14.25" customHeight="1" x14ac:dyDescent="0.3">
      <c r="A266" s="14">
        <v>43976</v>
      </c>
      <c r="B266" s="4" t="s">
        <v>19</v>
      </c>
      <c r="C266" s="4">
        <v>13260</v>
      </c>
      <c r="D266" s="26">
        <v>1230687</v>
      </c>
      <c r="E266" s="5">
        <f>IFERROR(VLOOKUP(J266,Sheet2!C266:F769,2),0)</f>
        <v>15</v>
      </c>
      <c r="F266" s="5">
        <f>IFERROR(VLOOKUP(J266,Sheet2!C266:F769,3),0)</f>
        <v>835</v>
      </c>
      <c r="G266" s="5">
        <f>IFERROR(VLOOKUP(J266, Sheet2!C266:F769,4),0)</f>
        <v>736</v>
      </c>
      <c r="H266" s="12">
        <f t="shared" si="12"/>
        <v>82045.8</v>
      </c>
      <c r="I266">
        <f t="shared" si="13"/>
        <v>22</v>
      </c>
      <c r="J266" t="str">
        <f t="shared" si="14"/>
        <v>2020-05-25Ростов-на-Дону</v>
      </c>
    </row>
    <row r="267" spans="1:10" ht="14.25" customHeight="1" x14ac:dyDescent="0.3">
      <c r="A267" s="15">
        <v>43951</v>
      </c>
      <c r="B267" s="6" t="s">
        <v>19</v>
      </c>
      <c r="C267" s="6">
        <v>4285.5</v>
      </c>
      <c r="D267" s="27">
        <v>404691</v>
      </c>
      <c r="E267" s="5">
        <f>IFERROR(VLOOKUP(J267,Sheet2!C267:F770,2),0)</f>
        <v>0</v>
      </c>
      <c r="F267" s="5">
        <f>IFERROR(VLOOKUP(J267,Sheet2!C267:F770,3),0)</f>
        <v>0</v>
      </c>
      <c r="G267" s="5">
        <f>IFERROR(VLOOKUP(J267, Sheet2!C267:F770,4),0)</f>
        <v>0</v>
      </c>
      <c r="H267" s="12">
        <f t="shared" si="12"/>
        <v>0</v>
      </c>
      <c r="I267">
        <f t="shared" si="13"/>
        <v>18</v>
      </c>
      <c r="J267" t="str">
        <f t="shared" si="14"/>
        <v>2020-04-30Ростов-на-Дону</v>
      </c>
    </row>
    <row r="268" spans="1:10" ht="14.25" customHeight="1" x14ac:dyDescent="0.3">
      <c r="A268" s="14">
        <v>43961</v>
      </c>
      <c r="B268" s="4" t="s">
        <v>19</v>
      </c>
      <c r="C268" s="4">
        <v>13440</v>
      </c>
      <c r="D268" s="26">
        <v>1198285.5</v>
      </c>
      <c r="E268" s="5">
        <f>IFERROR(VLOOKUP(J268,Sheet2!C268:F771,2),0)</f>
        <v>0</v>
      </c>
      <c r="F268" s="5">
        <f>IFERROR(VLOOKUP(J268,Sheet2!C268:F771,3),0)</f>
        <v>0</v>
      </c>
      <c r="G268" s="5">
        <f>IFERROR(VLOOKUP(J268, Sheet2!C268:F771,4),0)</f>
        <v>0</v>
      </c>
      <c r="H268" s="12">
        <f t="shared" si="12"/>
        <v>0</v>
      </c>
      <c r="I268">
        <f t="shared" si="13"/>
        <v>19</v>
      </c>
      <c r="J268" t="str">
        <f t="shared" si="14"/>
        <v>2020-05-10Ростов-на-Дону</v>
      </c>
    </row>
    <row r="269" spans="1:10" ht="14.25" customHeight="1" x14ac:dyDescent="0.3">
      <c r="A269" s="15">
        <v>43959</v>
      </c>
      <c r="B269" s="6" t="s">
        <v>19</v>
      </c>
      <c r="C269" s="6">
        <v>9058.5</v>
      </c>
      <c r="D269" s="27">
        <v>798759</v>
      </c>
      <c r="E269" s="5">
        <f>IFERROR(VLOOKUP(J269,Sheet2!C269:F772,2),0)</f>
        <v>0</v>
      </c>
      <c r="F269" s="5">
        <f>IFERROR(VLOOKUP(J269,Sheet2!C269:F772,3),0)</f>
        <v>0</v>
      </c>
      <c r="G269" s="5">
        <f>IFERROR(VLOOKUP(J269, Sheet2!C269:F772,4),0)</f>
        <v>0</v>
      </c>
      <c r="H269" s="12">
        <f t="shared" si="12"/>
        <v>0</v>
      </c>
      <c r="I269">
        <f t="shared" si="13"/>
        <v>19</v>
      </c>
      <c r="J269" t="str">
        <f t="shared" si="14"/>
        <v>2020-05-08Ростов-на-Дону</v>
      </c>
    </row>
    <row r="270" spans="1:10" ht="14.25" customHeight="1" x14ac:dyDescent="0.3">
      <c r="A270" s="14">
        <v>43958</v>
      </c>
      <c r="B270" s="4" t="s">
        <v>19</v>
      </c>
      <c r="C270" s="4">
        <v>8719.5</v>
      </c>
      <c r="D270" s="26">
        <v>769276.5</v>
      </c>
      <c r="E270" s="5">
        <f>IFERROR(VLOOKUP(J270,Sheet2!C270:F773,2),0)</f>
        <v>0</v>
      </c>
      <c r="F270" s="5">
        <f>IFERROR(VLOOKUP(J270,Sheet2!C270:F773,3),0)</f>
        <v>0</v>
      </c>
      <c r="G270" s="5">
        <f>IFERROR(VLOOKUP(J270, Sheet2!C270:F773,4),0)</f>
        <v>0</v>
      </c>
      <c r="H270" s="12">
        <f t="shared" si="12"/>
        <v>0</v>
      </c>
      <c r="I270">
        <f t="shared" si="13"/>
        <v>19</v>
      </c>
      <c r="J270" t="str">
        <f t="shared" si="14"/>
        <v>2020-05-07Ростов-на-Дону</v>
      </c>
    </row>
    <row r="271" spans="1:10" ht="14.25" customHeight="1" x14ac:dyDescent="0.3">
      <c r="A271" s="15">
        <v>43975</v>
      </c>
      <c r="B271" s="6" t="s">
        <v>19</v>
      </c>
      <c r="C271" s="6">
        <v>12666</v>
      </c>
      <c r="D271" s="27">
        <v>1184865</v>
      </c>
      <c r="E271" s="5">
        <f>IFERROR(VLOOKUP(J271,Sheet2!C271:F774,2),0)</f>
        <v>15</v>
      </c>
      <c r="F271" s="5">
        <f>IFERROR(VLOOKUP(J271,Sheet2!C271:F774,3),0)</f>
        <v>779</v>
      </c>
      <c r="G271" s="5">
        <f>IFERROR(VLOOKUP(J271, Sheet2!C271:F774,4),0)</f>
        <v>673</v>
      </c>
      <c r="H271" s="12">
        <f t="shared" si="12"/>
        <v>78991</v>
      </c>
      <c r="I271">
        <f t="shared" si="13"/>
        <v>21</v>
      </c>
      <c r="J271" t="str">
        <f t="shared" si="14"/>
        <v>2020-05-24Ростов-на-Дону</v>
      </c>
    </row>
    <row r="272" spans="1:10" ht="14.25" customHeight="1" x14ac:dyDescent="0.3">
      <c r="A272" s="14">
        <v>43967</v>
      </c>
      <c r="B272" s="4" t="s">
        <v>20</v>
      </c>
      <c r="C272" s="4">
        <v>34563</v>
      </c>
      <c r="D272" s="26">
        <v>2922883.5</v>
      </c>
      <c r="E272" s="5">
        <f>IFERROR(VLOOKUP(J272,Sheet2!C272:F775,2),0)</f>
        <v>0</v>
      </c>
      <c r="F272" s="5">
        <f>IFERROR(VLOOKUP(J272,Sheet2!C272:F775,3),0)</f>
        <v>0</v>
      </c>
      <c r="G272" s="5">
        <f>IFERROR(VLOOKUP(J272, Sheet2!C272:F775,4),0)</f>
        <v>0</v>
      </c>
      <c r="H272" s="12">
        <f t="shared" si="12"/>
        <v>0</v>
      </c>
      <c r="I272">
        <f t="shared" si="13"/>
        <v>20</v>
      </c>
      <c r="J272" t="str">
        <f t="shared" si="14"/>
        <v>2020-05-16Краснодар</v>
      </c>
    </row>
    <row r="273" spans="1:10" ht="14.25" customHeight="1" x14ac:dyDescent="0.3">
      <c r="A273" s="15">
        <v>43970</v>
      </c>
      <c r="B273" s="6" t="s">
        <v>20</v>
      </c>
      <c r="C273" s="6">
        <v>28882.5</v>
      </c>
      <c r="D273" s="27">
        <v>2446530</v>
      </c>
      <c r="E273" s="5">
        <f>IFERROR(VLOOKUP(J273,Sheet2!C273:F776,2),0)</f>
        <v>19</v>
      </c>
      <c r="F273" s="5">
        <f>IFERROR(VLOOKUP(J273,Sheet2!C273:F776,3),0)</f>
        <v>1831</v>
      </c>
      <c r="G273" s="5">
        <f>IFERROR(VLOOKUP(J273, Sheet2!C273:F776,4),0)</f>
        <v>1667</v>
      </c>
      <c r="H273" s="12">
        <f t="shared" si="12"/>
        <v>128764.73684210527</v>
      </c>
      <c r="I273">
        <f t="shared" si="13"/>
        <v>21</v>
      </c>
      <c r="J273" t="str">
        <f t="shared" si="14"/>
        <v>2020-05-19Краснодар</v>
      </c>
    </row>
    <row r="274" spans="1:10" ht="14.25" customHeight="1" x14ac:dyDescent="0.3">
      <c r="A274" s="14">
        <v>43968</v>
      </c>
      <c r="B274" s="4" t="s">
        <v>20</v>
      </c>
      <c r="C274" s="4">
        <v>28275</v>
      </c>
      <c r="D274" s="26">
        <v>2435632.5</v>
      </c>
      <c r="E274" s="5">
        <f>IFERROR(VLOOKUP(J274,Sheet2!C274:F777,2),0)</f>
        <v>0</v>
      </c>
      <c r="F274" s="5">
        <f>IFERROR(VLOOKUP(J274,Sheet2!C274:F777,3),0)</f>
        <v>0</v>
      </c>
      <c r="G274" s="5">
        <f>IFERROR(VLOOKUP(J274, Sheet2!C274:F777,4),0)</f>
        <v>0</v>
      </c>
      <c r="H274" s="12">
        <f t="shared" si="12"/>
        <v>0</v>
      </c>
      <c r="I274">
        <f t="shared" si="13"/>
        <v>20</v>
      </c>
      <c r="J274" t="str">
        <f t="shared" si="14"/>
        <v>2020-05-17Краснодар</v>
      </c>
    </row>
    <row r="275" spans="1:10" ht="14.25" customHeight="1" x14ac:dyDescent="0.3">
      <c r="A275" s="15">
        <v>43960</v>
      </c>
      <c r="B275" s="6" t="s">
        <v>20</v>
      </c>
      <c r="C275" s="6">
        <v>26271</v>
      </c>
      <c r="D275" s="27">
        <v>2384937</v>
      </c>
      <c r="E275" s="5">
        <f>IFERROR(VLOOKUP(J275,Sheet2!C275:F778,2),0)</f>
        <v>0</v>
      </c>
      <c r="F275" s="5">
        <f>IFERROR(VLOOKUP(J275,Sheet2!C275:F778,3),0)</f>
        <v>0</v>
      </c>
      <c r="G275" s="5">
        <f>IFERROR(VLOOKUP(J275, Sheet2!C275:F778,4),0)</f>
        <v>0</v>
      </c>
      <c r="H275" s="12">
        <f t="shared" si="12"/>
        <v>0</v>
      </c>
      <c r="I275">
        <f t="shared" si="13"/>
        <v>19</v>
      </c>
      <c r="J275" t="str">
        <f t="shared" si="14"/>
        <v>2020-05-09Краснодар</v>
      </c>
    </row>
    <row r="276" spans="1:10" ht="14.25" customHeight="1" x14ac:dyDescent="0.3">
      <c r="A276" s="14">
        <v>43955</v>
      </c>
      <c r="B276" s="4" t="s">
        <v>20</v>
      </c>
      <c r="C276" s="4">
        <v>23587.5</v>
      </c>
      <c r="D276" s="26">
        <v>2155668</v>
      </c>
      <c r="E276" s="5">
        <f>IFERROR(VLOOKUP(J276,Sheet2!C276:F779,2),0)</f>
        <v>0</v>
      </c>
      <c r="F276" s="5">
        <f>IFERROR(VLOOKUP(J276,Sheet2!C276:F779,3),0)</f>
        <v>0</v>
      </c>
      <c r="G276" s="5">
        <f>IFERROR(VLOOKUP(J276, Sheet2!C276:F779,4),0)</f>
        <v>0</v>
      </c>
      <c r="H276" s="12">
        <f t="shared" si="12"/>
        <v>0</v>
      </c>
      <c r="I276">
        <f t="shared" si="13"/>
        <v>19</v>
      </c>
      <c r="J276" t="str">
        <f t="shared" si="14"/>
        <v>2020-05-04Краснодар</v>
      </c>
    </row>
    <row r="277" spans="1:10" ht="14.25" customHeight="1" x14ac:dyDescent="0.3">
      <c r="A277" s="15">
        <v>43953</v>
      </c>
      <c r="B277" s="6" t="s">
        <v>20</v>
      </c>
      <c r="C277" s="6">
        <v>18427.5</v>
      </c>
      <c r="D277" s="27">
        <v>1682851.5</v>
      </c>
      <c r="E277" s="5">
        <f>IFERROR(VLOOKUP(J277,Sheet2!C277:F780,2),0)</f>
        <v>0</v>
      </c>
      <c r="F277" s="5">
        <f>IFERROR(VLOOKUP(J277,Sheet2!C277:F780,3),0)</f>
        <v>0</v>
      </c>
      <c r="G277" s="5">
        <f>IFERROR(VLOOKUP(J277, Sheet2!C277:F780,4),0)</f>
        <v>0</v>
      </c>
      <c r="H277" s="12">
        <f t="shared" si="12"/>
        <v>0</v>
      </c>
      <c r="I277">
        <f t="shared" si="13"/>
        <v>18</v>
      </c>
      <c r="J277" t="str">
        <f t="shared" si="14"/>
        <v>2020-05-02Краснодар</v>
      </c>
    </row>
    <row r="278" spans="1:10" ht="14.25" customHeight="1" x14ac:dyDescent="0.3">
      <c r="A278" s="14">
        <v>43977</v>
      </c>
      <c r="B278" s="4" t="s">
        <v>20</v>
      </c>
      <c r="C278" s="4">
        <v>27156</v>
      </c>
      <c r="D278" s="26">
        <v>2410803</v>
      </c>
      <c r="E278" s="5">
        <f>IFERROR(VLOOKUP(J278,Sheet2!C278:F781,2),0)</f>
        <v>20</v>
      </c>
      <c r="F278" s="5">
        <f>IFERROR(VLOOKUP(J278,Sheet2!C278:F781,3),0)</f>
        <v>1814</v>
      </c>
      <c r="G278" s="5">
        <f>IFERROR(VLOOKUP(J278, Sheet2!C278:F781,4),0)</f>
        <v>1655</v>
      </c>
      <c r="H278" s="12">
        <f t="shared" si="12"/>
        <v>120540.15</v>
      </c>
      <c r="I278">
        <f t="shared" si="13"/>
        <v>22</v>
      </c>
      <c r="J278" t="str">
        <f t="shared" si="14"/>
        <v>2020-05-26Краснодар</v>
      </c>
    </row>
    <row r="279" spans="1:10" ht="14.25" customHeight="1" x14ac:dyDescent="0.3">
      <c r="A279" s="15">
        <v>43952</v>
      </c>
      <c r="B279" s="6" t="s">
        <v>20</v>
      </c>
      <c r="C279" s="6">
        <v>35190</v>
      </c>
      <c r="D279" s="27">
        <v>3168510</v>
      </c>
      <c r="E279" s="5">
        <f>IFERROR(VLOOKUP(J279,Sheet2!C279:F782,2),0)</f>
        <v>0</v>
      </c>
      <c r="F279" s="5">
        <f>IFERROR(VLOOKUP(J279,Sheet2!C279:F782,3),0)</f>
        <v>0</v>
      </c>
      <c r="G279" s="5">
        <f>IFERROR(VLOOKUP(J279, Sheet2!C279:F782,4),0)</f>
        <v>0</v>
      </c>
      <c r="H279" s="12">
        <f t="shared" si="12"/>
        <v>0</v>
      </c>
      <c r="I279">
        <f t="shared" si="13"/>
        <v>18</v>
      </c>
      <c r="J279" t="str">
        <f t="shared" si="14"/>
        <v>2020-05-01Краснодар</v>
      </c>
    </row>
    <row r="280" spans="1:10" ht="14.25" customHeight="1" x14ac:dyDescent="0.3">
      <c r="A280" s="14">
        <v>43963</v>
      </c>
      <c r="B280" s="4" t="s">
        <v>20</v>
      </c>
      <c r="C280" s="4">
        <v>25483.5</v>
      </c>
      <c r="D280" s="26">
        <v>2243160</v>
      </c>
      <c r="E280" s="5">
        <f>IFERROR(VLOOKUP(J280,Sheet2!C280:F783,2),0)</f>
        <v>0</v>
      </c>
      <c r="F280" s="5">
        <f>IFERROR(VLOOKUP(J280,Sheet2!C280:F783,3),0)</f>
        <v>0</v>
      </c>
      <c r="G280" s="5">
        <f>IFERROR(VLOOKUP(J280, Sheet2!C280:F783,4),0)</f>
        <v>0</v>
      </c>
      <c r="H280" s="12">
        <f t="shared" si="12"/>
        <v>0</v>
      </c>
      <c r="I280">
        <f t="shared" si="13"/>
        <v>20</v>
      </c>
      <c r="J280" t="str">
        <f t="shared" si="14"/>
        <v>2020-05-12Краснодар</v>
      </c>
    </row>
    <row r="281" spans="1:10" ht="14.25" customHeight="1" x14ac:dyDescent="0.3">
      <c r="A281" s="15">
        <v>43972</v>
      </c>
      <c r="B281" s="6" t="s">
        <v>20</v>
      </c>
      <c r="C281" s="6">
        <v>25362</v>
      </c>
      <c r="D281" s="27">
        <v>2198935.5</v>
      </c>
      <c r="E281" s="5">
        <f>IFERROR(VLOOKUP(J281,Sheet2!C281:F784,2),0)</f>
        <v>19</v>
      </c>
      <c r="F281" s="5">
        <f>IFERROR(VLOOKUP(J281,Sheet2!C281:F784,3),0)</f>
        <v>1650</v>
      </c>
      <c r="G281" s="5">
        <f>IFERROR(VLOOKUP(J281, Sheet2!C281:F784,4),0)</f>
        <v>1505</v>
      </c>
      <c r="H281" s="12">
        <f t="shared" si="12"/>
        <v>115733.44736842105</v>
      </c>
      <c r="I281">
        <f t="shared" si="13"/>
        <v>21</v>
      </c>
      <c r="J281" t="str">
        <f t="shared" si="14"/>
        <v>2020-05-21Краснодар</v>
      </c>
    </row>
    <row r="282" spans="1:10" ht="14.25" customHeight="1" x14ac:dyDescent="0.3">
      <c r="A282" s="14">
        <v>43971</v>
      </c>
      <c r="B282" s="4" t="s">
        <v>20</v>
      </c>
      <c r="C282" s="4">
        <v>28849.5</v>
      </c>
      <c r="D282" s="26">
        <v>2520759</v>
      </c>
      <c r="E282" s="5">
        <f>IFERROR(VLOOKUP(J282,Sheet2!C282:F785,2),0)</f>
        <v>19</v>
      </c>
      <c r="F282" s="5">
        <f>IFERROR(VLOOKUP(J282,Sheet2!C282:F785,3),0)</f>
        <v>1823</v>
      </c>
      <c r="G282" s="5">
        <f>IFERROR(VLOOKUP(J282, Sheet2!C282:F785,4),0)</f>
        <v>1678</v>
      </c>
      <c r="H282" s="12">
        <f t="shared" si="12"/>
        <v>132671.52631578947</v>
      </c>
      <c r="I282">
        <f t="shared" si="13"/>
        <v>21</v>
      </c>
      <c r="J282" t="str">
        <f t="shared" si="14"/>
        <v>2020-05-20Краснодар</v>
      </c>
    </row>
    <row r="283" spans="1:10" ht="14.25" customHeight="1" x14ac:dyDescent="0.3">
      <c r="A283" s="15">
        <v>43956</v>
      </c>
      <c r="B283" s="6" t="s">
        <v>20</v>
      </c>
      <c r="C283" s="6">
        <v>26367</v>
      </c>
      <c r="D283" s="27">
        <v>2380333.5</v>
      </c>
      <c r="E283" s="5">
        <f>IFERROR(VLOOKUP(J283,Sheet2!C283:F786,2),0)</f>
        <v>0</v>
      </c>
      <c r="F283" s="5">
        <f>IFERROR(VLOOKUP(J283,Sheet2!C283:F786,3),0)</f>
        <v>0</v>
      </c>
      <c r="G283" s="5">
        <f>IFERROR(VLOOKUP(J283, Sheet2!C283:F786,4),0)</f>
        <v>0</v>
      </c>
      <c r="H283" s="12">
        <f t="shared" si="12"/>
        <v>0</v>
      </c>
      <c r="I283">
        <f t="shared" si="13"/>
        <v>19</v>
      </c>
      <c r="J283" t="str">
        <f t="shared" si="14"/>
        <v>2020-05-05Краснодар</v>
      </c>
    </row>
    <row r="284" spans="1:10" ht="14.25" customHeight="1" x14ac:dyDescent="0.3">
      <c r="A284" s="14">
        <v>43964</v>
      </c>
      <c r="B284" s="4" t="s">
        <v>20</v>
      </c>
      <c r="C284" s="4">
        <v>25539</v>
      </c>
      <c r="D284" s="26">
        <v>2263651.5</v>
      </c>
      <c r="E284" s="5">
        <f>IFERROR(VLOOKUP(J284,Sheet2!C284:F787,2),0)</f>
        <v>0</v>
      </c>
      <c r="F284" s="5">
        <f>IFERROR(VLOOKUP(J284,Sheet2!C284:F787,3),0)</f>
        <v>0</v>
      </c>
      <c r="G284" s="5">
        <f>IFERROR(VLOOKUP(J284, Sheet2!C284:F787,4),0)</f>
        <v>0</v>
      </c>
      <c r="H284" s="12">
        <f t="shared" si="12"/>
        <v>0</v>
      </c>
      <c r="I284">
        <f t="shared" si="13"/>
        <v>20</v>
      </c>
      <c r="J284" t="str">
        <f t="shared" si="14"/>
        <v>2020-05-13Краснодар</v>
      </c>
    </row>
    <row r="285" spans="1:10" ht="14.25" customHeight="1" x14ac:dyDescent="0.3">
      <c r="A285" s="15">
        <v>43982</v>
      </c>
      <c r="B285" s="6" t="s">
        <v>19</v>
      </c>
      <c r="C285" s="6">
        <v>14808</v>
      </c>
      <c r="D285" s="27">
        <v>1336789.5</v>
      </c>
      <c r="E285" s="5">
        <f>IFERROR(VLOOKUP(J285,Sheet2!C285:F788,2),0)</f>
        <v>16</v>
      </c>
      <c r="F285" s="5">
        <f>IFERROR(VLOOKUP(J285,Sheet2!C285:F788,3),0)</f>
        <v>917</v>
      </c>
      <c r="G285" s="5">
        <f>IFERROR(VLOOKUP(J285, Sheet2!C285:F788,4),0)</f>
        <v>802</v>
      </c>
      <c r="H285" s="12">
        <f t="shared" si="12"/>
        <v>83549.34375</v>
      </c>
      <c r="I285">
        <f t="shared" si="13"/>
        <v>22</v>
      </c>
      <c r="J285" t="str">
        <f t="shared" si="14"/>
        <v>2020-05-31Ростов-на-Дону</v>
      </c>
    </row>
    <row r="286" spans="1:10" ht="14.25" customHeight="1" x14ac:dyDescent="0.3">
      <c r="A286" s="14">
        <v>43954</v>
      </c>
      <c r="B286" s="4" t="s">
        <v>20</v>
      </c>
      <c r="C286" s="4">
        <v>21343.5</v>
      </c>
      <c r="D286" s="26">
        <v>1906557</v>
      </c>
      <c r="E286" s="5">
        <f>IFERROR(VLOOKUP(J286,Sheet2!C286:F789,2),0)</f>
        <v>0</v>
      </c>
      <c r="F286" s="5">
        <f>IFERROR(VLOOKUP(J286,Sheet2!C286:F789,3),0)</f>
        <v>0</v>
      </c>
      <c r="G286" s="5">
        <f>IFERROR(VLOOKUP(J286, Sheet2!C286:F789,4),0)</f>
        <v>0</v>
      </c>
      <c r="H286" s="12">
        <f t="shared" si="12"/>
        <v>0</v>
      </c>
      <c r="I286">
        <f t="shared" si="13"/>
        <v>18</v>
      </c>
      <c r="J286" t="str">
        <f t="shared" si="14"/>
        <v>2020-05-03Краснодар</v>
      </c>
    </row>
    <row r="287" spans="1:10" ht="14.25" customHeight="1" x14ac:dyDescent="0.3">
      <c r="A287" s="15">
        <v>43981</v>
      </c>
      <c r="B287" s="6" t="s">
        <v>19</v>
      </c>
      <c r="C287" s="6">
        <v>17946</v>
      </c>
      <c r="D287" s="27">
        <v>1609090.5</v>
      </c>
      <c r="E287" s="5">
        <f>IFERROR(VLOOKUP(J287,Sheet2!C287:F790,2),0)</f>
        <v>16</v>
      </c>
      <c r="F287" s="5">
        <f>IFERROR(VLOOKUP(J287,Sheet2!C287:F790,3),0)</f>
        <v>1048</v>
      </c>
      <c r="G287" s="5">
        <f>IFERROR(VLOOKUP(J287, Sheet2!C287:F790,4),0)</f>
        <v>918</v>
      </c>
      <c r="H287" s="12">
        <f t="shared" si="12"/>
        <v>100568.15625</v>
      </c>
      <c r="I287">
        <f t="shared" si="13"/>
        <v>22</v>
      </c>
      <c r="J287" t="str">
        <f t="shared" si="14"/>
        <v>2020-05-30Ростов-на-Дону</v>
      </c>
    </row>
    <row r="288" spans="1:10" ht="14.25" customHeight="1" x14ac:dyDescent="0.3">
      <c r="A288" s="14">
        <v>43957</v>
      </c>
      <c r="B288" s="4" t="s">
        <v>20</v>
      </c>
      <c r="C288" s="4">
        <v>24337.5</v>
      </c>
      <c r="D288" s="26">
        <v>2159350.5</v>
      </c>
      <c r="E288" s="5">
        <f>IFERROR(VLOOKUP(J288,Sheet2!C288:F791,2),0)</f>
        <v>0</v>
      </c>
      <c r="F288" s="5">
        <f>IFERROR(VLOOKUP(J288,Sheet2!C288:F791,3),0)</f>
        <v>0</v>
      </c>
      <c r="G288" s="5">
        <f>IFERROR(VLOOKUP(J288, Sheet2!C288:F791,4),0)</f>
        <v>0</v>
      </c>
      <c r="H288" s="12">
        <f t="shared" si="12"/>
        <v>0</v>
      </c>
      <c r="I288">
        <f t="shared" si="13"/>
        <v>19</v>
      </c>
      <c r="J288" t="str">
        <f t="shared" si="14"/>
        <v>2020-05-06Краснодар</v>
      </c>
    </row>
    <row r="289" spans="1:10" ht="14.25" customHeight="1" x14ac:dyDescent="0.3">
      <c r="A289" s="15">
        <v>43974</v>
      </c>
      <c r="B289" s="6" t="s">
        <v>20</v>
      </c>
      <c r="C289" s="6">
        <v>36997.5</v>
      </c>
      <c r="D289" s="27">
        <v>3089140.5</v>
      </c>
      <c r="E289" s="5">
        <f>IFERROR(VLOOKUP(J289,Sheet2!C289:F792,2),0)</f>
        <v>19</v>
      </c>
      <c r="F289" s="5">
        <f>IFERROR(VLOOKUP(J289,Sheet2!C289:F792,3),0)</f>
        <v>2195</v>
      </c>
      <c r="G289" s="5">
        <f>IFERROR(VLOOKUP(J289, Sheet2!C289:F792,4),0)</f>
        <v>1999</v>
      </c>
      <c r="H289" s="12">
        <f t="shared" si="12"/>
        <v>162586.34210526315</v>
      </c>
      <c r="I289">
        <f t="shared" si="13"/>
        <v>21</v>
      </c>
      <c r="J289" t="str">
        <f t="shared" si="14"/>
        <v>2020-05-23Краснодар</v>
      </c>
    </row>
    <row r="290" spans="1:10" ht="14.25" customHeight="1" x14ac:dyDescent="0.3">
      <c r="A290" s="14">
        <v>43979</v>
      </c>
      <c r="B290" s="4" t="s">
        <v>19</v>
      </c>
      <c r="C290" s="4">
        <v>13864.5</v>
      </c>
      <c r="D290" s="26">
        <v>1239747</v>
      </c>
      <c r="E290" s="5">
        <f>IFERROR(VLOOKUP(J290,Sheet2!C290:F793,2),0)</f>
        <v>16</v>
      </c>
      <c r="F290" s="5">
        <f>IFERROR(VLOOKUP(J290,Sheet2!C290:F793,3),0)</f>
        <v>876</v>
      </c>
      <c r="G290" s="5">
        <f>IFERROR(VLOOKUP(J290, Sheet2!C290:F793,4),0)</f>
        <v>762</v>
      </c>
      <c r="H290" s="12">
        <f t="shared" si="12"/>
        <v>77484.1875</v>
      </c>
      <c r="I290">
        <f t="shared" si="13"/>
        <v>22</v>
      </c>
      <c r="J290" t="str">
        <f t="shared" si="14"/>
        <v>2020-05-28Ростов-на-Дону</v>
      </c>
    </row>
    <row r="291" spans="1:10" ht="14.25" customHeight="1" x14ac:dyDescent="0.3">
      <c r="A291" s="15">
        <v>43976</v>
      </c>
      <c r="B291" s="6" t="s">
        <v>20</v>
      </c>
      <c r="C291" s="6">
        <v>28494</v>
      </c>
      <c r="D291" s="27">
        <v>2512803</v>
      </c>
      <c r="E291" s="5">
        <f>IFERROR(VLOOKUP(J291,Sheet2!C291:F794,2),0)</f>
        <v>20</v>
      </c>
      <c r="F291" s="5">
        <f>IFERROR(VLOOKUP(J291,Sheet2!C291:F794,3),0)</f>
        <v>1899</v>
      </c>
      <c r="G291" s="5">
        <f>IFERROR(VLOOKUP(J291, Sheet2!C291:F794,4),0)</f>
        <v>1738</v>
      </c>
      <c r="H291" s="12">
        <f t="shared" si="12"/>
        <v>125640.15</v>
      </c>
      <c r="I291">
        <f t="shared" si="13"/>
        <v>22</v>
      </c>
      <c r="J291" t="str">
        <f t="shared" si="14"/>
        <v>2020-05-25Краснодар</v>
      </c>
    </row>
    <row r="292" spans="1:10" ht="14.25" customHeight="1" x14ac:dyDescent="0.3">
      <c r="A292" s="14">
        <v>43951</v>
      </c>
      <c r="B292" s="4" t="s">
        <v>20</v>
      </c>
      <c r="C292" s="4">
        <v>27883.5</v>
      </c>
      <c r="D292" s="26">
        <v>2560080</v>
      </c>
      <c r="E292" s="5">
        <f>IFERROR(VLOOKUP(J292,Sheet2!C292:F795,2),0)</f>
        <v>0</v>
      </c>
      <c r="F292" s="5">
        <f>IFERROR(VLOOKUP(J292,Sheet2!C292:F795,3),0)</f>
        <v>0</v>
      </c>
      <c r="G292" s="5">
        <f>IFERROR(VLOOKUP(J292, Sheet2!C292:F795,4),0)</f>
        <v>0</v>
      </c>
      <c r="H292" s="12">
        <f t="shared" si="12"/>
        <v>0</v>
      </c>
      <c r="I292">
        <f t="shared" si="13"/>
        <v>18</v>
      </c>
      <c r="J292" t="str">
        <f t="shared" si="14"/>
        <v>2020-04-30Краснодар</v>
      </c>
    </row>
    <row r="293" spans="1:10" ht="14.25" customHeight="1" x14ac:dyDescent="0.3">
      <c r="A293" s="15">
        <v>43961</v>
      </c>
      <c r="B293" s="6" t="s">
        <v>20</v>
      </c>
      <c r="C293" s="6">
        <v>31224</v>
      </c>
      <c r="D293" s="27">
        <v>2767270.5</v>
      </c>
      <c r="E293" s="5">
        <f>IFERROR(VLOOKUP(J293,Sheet2!C293:F796,2),0)</f>
        <v>0</v>
      </c>
      <c r="F293" s="5">
        <f>IFERROR(VLOOKUP(J293,Sheet2!C293:F796,3),0)</f>
        <v>0</v>
      </c>
      <c r="G293" s="5">
        <f>IFERROR(VLOOKUP(J293, Sheet2!C293:F796,4),0)</f>
        <v>0</v>
      </c>
      <c r="H293" s="12">
        <f t="shared" si="12"/>
        <v>0</v>
      </c>
      <c r="I293">
        <f t="shared" si="13"/>
        <v>19</v>
      </c>
      <c r="J293" t="str">
        <f t="shared" si="14"/>
        <v>2020-05-10Краснодар</v>
      </c>
    </row>
    <row r="294" spans="1:10" ht="14.25" customHeight="1" x14ac:dyDescent="0.3">
      <c r="A294" s="14">
        <v>43959</v>
      </c>
      <c r="B294" s="4" t="s">
        <v>20</v>
      </c>
      <c r="C294" s="4">
        <v>25020</v>
      </c>
      <c r="D294" s="26">
        <v>2235960</v>
      </c>
      <c r="E294" s="5">
        <f>IFERROR(VLOOKUP(J294,Sheet2!C294:F797,2),0)</f>
        <v>0</v>
      </c>
      <c r="F294" s="5">
        <f>IFERROR(VLOOKUP(J294,Sheet2!C294:F797,3),0)</f>
        <v>0</v>
      </c>
      <c r="G294" s="5">
        <f>IFERROR(VLOOKUP(J294, Sheet2!C294:F797,4),0)</f>
        <v>0</v>
      </c>
      <c r="H294" s="12">
        <f t="shared" si="12"/>
        <v>0</v>
      </c>
      <c r="I294">
        <f t="shared" si="13"/>
        <v>19</v>
      </c>
      <c r="J294" t="str">
        <f t="shared" si="14"/>
        <v>2020-05-08Краснодар</v>
      </c>
    </row>
    <row r="295" spans="1:10" ht="14.25" customHeight="1" x14ac:dyDescent="0.3">
      <c r="A295" s="15">
        <v>43958</v>
      </c>
      <c r="B295" s="6" t="s">
        <v>20</v>
      </c>
      <c r="C295" s="6">
        <v>26184</v>
      </c>
      <c r="D295" s="27">
        <v>2308336.5</v>
      </c>
      <c r="E295" s="5">
        <f>IFERROR(VLOOKUP(J295,Sheet2!C295:F798,2),0)</f>
        <v>0</v>
      </c>
      <c r="F295" s="5">
        <f>IFERROR(VLOOKUP(J295,Sheet2!C295:F798,3),0)</f>
        <v>0</v>
      </c>
      <c r="G295" s="5">
        <f>IFERROR(VLOOKUP(J295, Sheet2!C295:F798,4),0)</f>
        <v>0</v>
      </c>
      <c r="H295" s="12">
        <f t="shared" si="12"/>
        <v>0</v>
      </c>
      <c r="I295">
        <f t="shared" si="13"/>
        <v>19</v>
      </c>
      <c r="J295" t="str">
        <f t="shared" si="14"/>
        <v>2020-05-07Краснодар</v>
      </c>
    </row>
    <row r="296" spans="1:10" ht="14.25" customHeight="1" x14ac:dyDescent="0.3">
      <c r="A296" s="14">
        <v>43975</v>
      </c>
      <c r="B296" s="4" t="s">
        <v>20</v>
      </c>
      <c r="C296" s="4">
        <v>29824.5</v>
      </c>
      <c r="D296" s="26">
        <v>2526909</v>
      </c>
      <c r="E296" s="5">
        <f>IFERROR(VLOOKUP(J296,Sheet2!C296:F799,2),0)</f>
        <v>19</v>
      </c>
      <c r="F296" s="5">
        <f>IFERROR(VLOOKUP(J296,Sheet2!C296:F799,3),0)</f>
        <v>1868</v>
      </c>
      <c r="G296" s="5">
        <f>IFERROR(VLOOKUP(J296, Sheet2!C296:F799,4),0)</f>
        <v>1706</v>
      </c>
      <c r="H296" s="12">
        <f t="shared" si="12"/>
        <v>132995.21052631579</v>
      </c>
      <c r="I296">
        <f t="shared" si="13"/>
        <v>21</v>
      </c>
      <c r="J296" t="str">
        <f t="shared" si="14"/>
        <v>2020-05-24Краснодар</v>
      </c>
    </row>
    <row r="297" spans="1:10" ht="14.25" customHeight="1" x14ac:dyDescent="0.3">
      <c r="A297" s="15">
        <v>43950</v>
      </c>
      <c r="B297" s="6" t="s">
        <v>21</v>
      </c>
      <c r="C297" s="6">
        <v>208351.5</v>
      </c>
      <c r="D297" s="27">
        <v>21615333</v>
      </c>
      <c r="E297" s="5">
        <f>IFERROR(VLOOKUP(J297,Sheet2!C297:F800,2),0)</f>
        <v>0</v>
      </c>
      <c r="F297" s="5">
        <f>IFERROR(VLOOKUP(J297,Sheet2!C297:F800,3),0)</f>
        <v>0</v>
      </c>
      <c r="G297" s="5">
        <f>IFERROR(VLOOKUP(J297, Sheet2!C297:F800,4),0)</f>
        <v>0</v>
      </c>
      <c r="H297" s="12">
        <f t="shared" si="12"/>
        <v>0</v>
      </c>
      <c r="I297">
        <f t="shared" si="13"/>
        <v>18</v>
      </c>
      <c r="J297" t="str">
        <f t="shared" si="14"/>
        <v>2020-04-29Москва Запад</v>
      </c>
    </row>
    <row r="298" spans="1:10" ht="14.25" customHeight="1" x14ac:dyDescent="0.3">
      <c r="A298" s="14">
        <v>43949</v>
      </c>
      <c r="B298" s="4" t="s">
        <v>21</v>
      </c>
      <c r="C298" s="4">
        <v>204637.5</v>
      </c>
      <c r="D298" s="26">
        <v>21114898.5</v>
      </c>
      <c r="E298" s="5">
        <f>IFERROR(VLOOKUP(J298,Sheet2!C298:F801,2),0)</f>
        <v>0</v>
      </c>
      <c r="F298" s="5">
        <f>IFERROR(VLOOKUP(J298,Sheet2!C298:F801,3),0)</f>
        <v>0</v>
      </c>
      <c r="G298" s="5">
        <f>IFERROR(VLOOKUP(J298, Sheet2!C298:F801,4),0)</f>
        <v>0</v>
      </c>
      <c r="H298" s="12">
        <f t="shared" si="12"/>
        <v>0</v>
      </c>
      <c r="I298">
        <f t="shared" si="13"/>
        <v>18</v>
      </c>
      <c r="J298" t="str">
        <f t="shared" si="14"/>
        <v>2020-04-28Москва Запад</v>
      </c>
    </row>
    <row r="299" spans="1:10" ht="14.25" customHeight="1" x14ac:dyDescent="0.3">
      <c r="A299" s="15">
        <v>43982</v>
      </c>
      <c r="B299" s="6" t="s">
        <v>20</v>
      </c>
      <c r="C299" s="6">
        <v>31372.5</v>
      </c>
      <c r="D299" s="27">
        <v>2794324.5</v>
      </c>
      <c r="E299" s="5">
        <f>IFERROR(VLOOKUP(J299,Sheet2!C299:F802,2),0)</f>
        <v>21</v>
      </c>
      <c r="F299" s="5">
        <f>IFERROR(VLOOKUP(J299,Sheet2!C299:F802,3),0)</f>
        <v>2056</v>
      </c>
      <c r="G299" s="5">
        <f>IFERROR(VLOOKUP(J299, Sheet2!C299:F802,4),0)</f>
        <v>1879</v>
      </c>
      <c r="H299" s="12">
        <f t="shared" si="12"/>
        <v>133063.07142857142</v>
      </c>
      <c r="I299">
        <f t="shared" si="13"/>
        <v>22</v>
      </c>
      <c r="J299" t="str">
        <f t="shared" si="14"/>
        <v>2020-05-31Краснодар</v>
      </c>
    </row>
    <row r="300" spans="1:10" ht="14.25" customHeight="1" x14ac:dyDescent="0.3">
      <c r="A300" s="14">
        <v>43981</v>
      </c>
      <c r="B300" s="4" t="s">
        <v>20</v>
      </c>
      <c r="C300" s="4">
        <v>34681.5</v>
      </c>
      <c r="D300" s="26">
        <v>3005334</v>
      </c>
      <c r="E300" s="5">
        <f>IFERROR(VLOOKUP(J300,Sheet2!C300:F803,2),0)</f>
        <v>20</v>
      </c>
      <c r="F300" s="5">
        <f>IFERROR(VLOOKUP(J300,Sheet2!C300:F803,3),0)</f>
        <v>2174</v>
      </c>
      <c r="G300" s="5">
        <f>IFERROR(VLOOKUP(J300, Sheet2!C300:F803,4),0)</f>
        <v>1957</v>
      </c>
      <c r="H300" s="12">
        <f t="shared" si="12"/>
        <v>150266.70000000001</v>
      </c>
      <c r="I300">
        <f t="shared" si="13"/>
        <v>22</v>
      </c>
      <c r="J300" t="str">
        <f t="shared" si="14"/>
        <v>2020-05-30Краснодар</v>
      </c>
    </row>
    <row r="301" spans="1:10" ht="14.25" customHeight="1" x14ac:dyDescent="0.3">
      <c r="A301" s="15">
        <v>43979</v>
      </c>
      <c r="B301" s="6" t="s">
        <v>20</v>
      </c>
      <c r="C301" s="6">
        <v>28197</v>
      </c>
      <c r="D301" s="27">
        <v>2559211.5</v>
      </c>
      <c r="E301" s="5">
        <f>IFERROR(VLOOKUP(J301,Sheet2!C301:F804,2),0)</f>
        <v>20</v>
      </c>
      <c r="F301" s="5">
        <f>IFERROR(VLOOKUP(J301,Sheet2!C301:F804,3),0)</f>
        <v>1875</v>
      </c>
      <c r="G301" s="5">
        <f>IFERROR(VLOOKUP(J301, Sheet2!C301:F804,4),0)</f>
        <v>1701</v>
      </c>
      <c r="H301" s="12">
        <f t="shared" si="12"/>
        <v>127960.575</v>
      </c>
      <c r="I301">
        <f t="shared" si="13"/>
        <v>22</v>
      </c>
      <c r="J301" t="str">
        <f t="shared" si="14"/>
        <v>2020-05-28Краснодар</v>
      </c>
    </row>
    <row r="302" spans="1:10" ht="14.25" customHeight="1" x14ac:dyDescent="0.3">
      <c r="A302" s="14">
        <v>43967</v>
      </c>
      <c r="B302" s="4" t="s">
        <v>21</v>
      </c>
      <c r="C302" s="4">
        <v>236551.5</v>
      </c>
      <c r="D302" s="26">
        <v>23689383</v>
      </c>
      <c r="E302" s="5">
        <f>IFERROR(VLOOKUP(J302,Sheet2!C302:F805,2),0)</f>
        <v>0</v>
      </c>
      <c r="F302" s="5">
        <f>IFERROR(VLOOKUP(J302,Sheet2!C302:F805,3),0)</f>
        <v>0</v>
      </c>
      <c r="G302" s="5">
        <f>IFERROR(VLOOKUP(J302, Sheet2!C302:F805,4),0)</f>
        <v>0</v>
      </c>
      <c r="H302" s="12">
        <f t="shared" si="12"/>
        <v>0</v>
      </c>
      <c r="I302">
        <f t="shared" si="13"/>
        <v>20</v>
      </c>
      <c r="J302" t="str">
        <f t="shared" si="14"/>
        <v>2020-05-16Москва Запад</v>
      </c>
    </row>
    <row r="303" spans="1:10" ht="14.25" customHeight="1" x14ac:dyDescent="0.3">
      <c r="A303" s="15">
        <v>43970</v>
      </c>
      <c r="B303" s="6" t="s">
        <v>21</v>
      </c>
      <c r="C303" s="6">
        <v>223597.5</v>
      </c>
      <c r="D303" s="27">
        <v>21945858</v>
      </c>
      <c r="E303" s="5">
        <f>IFERROR(VLOOKUP(J303,Sheet2!C303:F806,2),0)</f>
        <v>0</v>
      </c>
      <c r="F303" s="5">
        <f>IFERROR(VLOOKUP(J303,Sheet2!C303:F806,3),0)</f>
        <v>0</v>
      </c>
      <c r="G303" s="5">
        <f>IFERROR(VLOOKUP(J303, Sheet2!C303:F806,4),0)</f>
        <v>0</v>
      </c>
      <c r="H303" s="12">
        <f t="shared" si="12"/>
        <v>0</v>
      </c>
      <c r="I303">
        <f t="shared" si="13"/>
        <v>21</v>
      </c>
      <c r="J303" t="str">
        <f t="shared" si="14"/>
        <v>2020-05-19Москва Запад</v>
      </c>
    </row>
    <row r="304" spans="1:10" ht="14.25" customHeight="1" x14ac:dyDescent="0.3">
      <c r="A304" s="14">
        <v>43968</v>
      </c>
      <c r="B304" s="4" t="s">
        <v>21</v>
      </c>
      <c r="C304" s="4">
        <v>193363.5</v>
      </c>
      <c r="D304" s="26">
        <v>19546386</v>
      </c>
      <c r="E304" s="5">
        <f>IFERROR(VLOOKUP(J304,Sheet2!C304:F807,2),0)</f>
        <v>0</v>
      </c>
      <c r="F304" s="5">
        <f>IFERROR(VLOOKUP(J304,Sheet2!C304:F807,3),0)</f>
        <v>0</v>
      </c>
      <c r="G304" s="5">
        <f>IFERROR(VLOOKUP(J304, Sheet2!C304:F807,4),0)</f>
        <v>0</v>
      </c>
      <c r="H304" s="12">
        <f t="shared" si="12"/>
        <v>0</v>
      </c>
      <c r="I304">
        <f t="shared" si="13"/>
        <v>20</v>
      </c>
      <c r="J304" t="str">
        <f t="shared" si="14"/>
        <v>2020-05-17Москва Запад</v>
      </c>
    </row>
    <row r="305" spans="1:10" ht="14.25" customHeight="1" x14ac:dyDescent="0.3">
      <c r="A305" s="15">
        <v>43960</v>
      </c>
      <c r="B305" s="6" t="s">
        <v>21</v>
      </c>
      <c r="C305" s="6">
        <v>188319</v>
      </c>
      <c r="D305" s="27">
        <v>19218631.5</v>
      </c>
      <c r="E305" s="5">
        <f>IFERROR(VLOOKUP(J305,Sheet2!C305:F808,2),0)</f>
        <v>0</v>
      </c>
      <c r="F305" s="5">
        <f>IFERROR(VLOOKUP(J305,Sheet2!C305:F808,3),0)</f>
        <v>0</v>
      </c>
      <c r="G305" s="5">
        <f>IFERROR(VLOOKUP(J305, Sheet2!C305:F808,4),0)</f>
        <v>0</v>
      </c>
      <c r="H305" s="12">
        <f t="shared" si="12"/>
        <v>0</v>
      </c>
      <c r="I305">
        <f t="shared" si="13"/>
        <v>19</v>
      </c>
      <c r="J305" t="str">
        <f t="shared" si="14"/>
        <v>2020-05-09Москва Запад</v>
      </c>
    </row>
    <row r="306" spans="1:10" ht="14.25" customHeight="1" x14ac:dyDescent="0.3">
      <c r="A306" s="14">
        <v>43955</v>
      </c>
      <c r="B306" s="4" t="s">
        <v>21</v>
      </c>
      <c r="C306" s="4">
        <v>237544.5</v>
      </c>
      <c r="D306" s="26">
        <v>24292218</v>
      </c>
      <c r="E306" s="5">
        <f>IFERROR(VLOOKUP(J306,Sheet2!C306:F809,2),0)</f>
        <v>0</v>
      </c>
      <c r="F306" s="5">
        <f>IFERROR(VLOOKUP(J306,Sheet2!C306:F809,3),0)</f>
        <v>0</v>
      </c>
      <c r="G306" s="5">
        <f>IFERROR(VLOOKUP(J306, Sheet2!C306:F809,4),0)</f>
        <v>0</v>
      </c>
      <c r="H306" s="12">
        <f t="shared" si="12"/>
        <v>0</v>
      </c>
      <c r="I306">
        <f t="shared" si="13"/>
        <v>19</v>
      </c>
      <c r="J306" t="str">
        <f t="shared" si="14"/>
        <v>2020-05-04Москва Запад</v>
      </c>
    </row>
    <row r="307" spans="1:10" ht="14.25" customHeight="1" x14ac:dyDescent="0.3">
      <c r="A307" s="15">
        <v>43950</v>
      </c>
      <c r="B307" s="6" t="s">
        <v>22</v>
      </c>
      <c r="C307" s="6">
        <v>203209.5</v>
      </c>
      <c r="D307" s="27">
        <v>20871391.5</v>
      </c>
      <c r="E307" s="5">
        <f>IFERROR(VLOOKUP(J307,Sheet2!C307:F810,2),0)</f>
        <v>0</v>
      </c>
      <c r="F307" s="5">
        <f>IFERROR(VLOOKUP(J307,Sheet2!C307:F810,3),0)</f>
        <v>0</v>
      </c>
      <c r="G307" s="5">
        <f>IFERROR(VLOOKUP(J307, Sheet2!C307:F810,4),0)</f>
        <v>0</v>
      </c>
      <c r="H307" s="12">
        <f t="shared" si="12"/>
        <v>0</v>
      </c>
      <c r="I307">
        <f t="shared" si="13"/>
        <v>18</v>
      </c>
      <c r="J307" t="str">
        <f t="shared" si="14"/>
        <v>2020-04-29Москва Восток</v>
      </c>
    </row>
    <row r="308" spans="1:10" ht="14.25" customHeight="1" x14ac:dyDescent="0.3">
      <c r="A308" s="14">
        <v>43953</v>
      </c>
      <c r="B308" s="4" t="s">
        <v>21</v>
      </c>
      <c r="C308" s="4">
        <v>185979</v>
      </c>
      <c r="D308" s="26">
        <v>19625364</v>
      </c>
      <c r="E308" s="5">
        <f>IFERROR(VLOOKUP(J308,Sheet2!C308:F811,2),0)</f>
        <v>0</v>
      </c>
      <c r="F308" s="5">
        <f>IFERROR(VLOOKUP(J308,Sheet2!C308:F811,3),0)</f>
        <v>0</v>
      </c>
      <c r="G308" s="5">
        <f>IFERROR(VLOOKUP(J308, Sheet2!C308:F811,4),0)</f>
        <v>0</v>
      </c>
      <c r="H308" s="12">
        <f t="shared" si="12"/>
        <v>0</v>
      </c>
      <c r="I308">
        <f t="shared" si="13"/>
        <v>18</v>
      </c>
      <c r="J308" t="str">
        <f t="shared" si="14"/>
        <v>2020-05-02Москва Запад</v>
      </c>
    </row>
    <row r="309" spans="1:10" ht="14.25" customHeight="1" x14ac:dyDescent="0.3">
      <c r="A309" s="15">
        <v>43977</v>
      </c>
      <c r="B309" s="6" t="s">
        <v>21</v>
      </c>
      <c r="C309" s="6">
        <v>244905</v>
      </c>
      <c r="D309" s="27">
        <v>25163431.5</v>
      </c>
      <c r="E309" s="5">
        <f>IFERROR(VLOOKUP(J309,Sheet2!C309:F812,2),0)</f>
        <v>59</v>
      </c>
      <c r="F309" s="5">
        <f>IFERROR(VLOOKUP(J309,Sheet2!C309:F812,3),0)</f>
        <v>15369</v>
      </c>
      <c r="G309" s="5">
        <f>IFERROR(VLOOKUP(J309, Sheet2!C309:F812,4),0)</f>
        <v>14299</v>
      </c>
      <c r="H309" s="12">
        <f t="shared" si="12"/>
        <v>426498.83898305084</v>
      </c>
      <c r="I309">
        <f t="shared" si="13"/>
        <v>22</v>
      </c>
      <c r="J309" t="str">
        <f t="shared" si="14"/>
        <v>2020-05-26Москва Запад</v>
      </c>
    </row>
    <row r="310" spans="1:10" ht="14.25" customHeight="1" x14ac:dyDescent="0.3">
      <c r="A310" s="14">
        <v>43952</v>
      </c>
      <c r="B310" s="4" t="s">
        <v>21</v>
      </c>
      <c r="C310" s="4">
        <v>239409</v>
      </c>
      <c r="D310" s="26">
        <v>25413351</v>
      </c>
      <c r="E310" s="5">
        <f>IFERROR(VLOOKUP(J310,Sheet2!C310:F813,2),0)</f>
        <v>0</v>
      </c>
      <c r="F310" s="5">
        <f>IFERROR(VLOOKUP(J310,Sheet2!C310:F813,3),0)</f>
        <v>0</v>
      </c>
      <c r="G310" s="5">
        <f>IFERROR(VLOOKUP(J310, Sheet2!C310:F813,4),0)</f>
        <v>0</v>
      </c>
      <c r="H310" s="12">
        <f t="shared" si="12"/>
        <v>0</v>
      </c>
      <c r="I310">
        <f t="shared" si="13"/>
        <v>18</v>
      </c>
      <c r="J310" t="str">
        <f t="shared" si="14"/>
        <v>2020-05-01Москва Запад</v>
      </c>
    </row>
    <row r="311" spans="1:10" ht="14.25" customHeight="1" x14ac:dyDescent="0.3">
      <c r="A311" s="15">
        <v>43963</v>
      </c>
      <c r="B311" s="6" t="s">
        <v>21</v>
      </c>
      <c r="C311" s="6">
        <v>192886.5</v>
      </c>
      <c r="D311" s="27">
        <v>19205179.5</v>
      </c>
      <c r="E311" s="5">
        <f>IFERROR(VLOOKUP(J311,Sheet2!C311:F814,2),0)</f>
        <v>0</v>
      </c>
      <c r="F311" s="5">
        <f>IFERROR(VLOOKUP(J311,Sheet2!C311:F814,3),0)</f>
        <v>0</v>
      </c>
      <c r="G311" s="5">
        <f>IFERROR(VLOOKUP(J311, Sheet2!C311:F814,4),0)</f>
        <v>0</v>
      </c>
      <c r="H311" s="12">
        <f t="shared" si="12"/>
        <v>0</v>
      </c>
      <c r="I311">
        <f t="shared" si="13"/>
        <v>20</v>
      </c>
      <c r="J311" t="str">
        <f t="shared" si="14"/>
        <v>2020-05-12Москва Запад</v>
      </c>
    </row>
    <row r="312" spans="1:10" ht="14.25" customHeight="1" x14ac:dyDescent="0.3">
      <c r="A312" s="14">
        <v>43972</v>
      </c>
      <c r="B312" s="4" t="s">
        <v>21</v>
      </c>
      <c r="C312" s="4">
        <v>224233.5</v>
      </c>
      <c r="D312" s="26">
        <v>22253295</v>
      </c>
      <c r="E312" s="5">
        <f>IFERROR(VLOOKUP(J312,Sheet2!C312:F815,2),0)</f>
        <v>60</v>
      </c>
      <c r="F312" s="5">
        <f>IFERROR(VLOOKUP(J312,Sheet2!C312:F815,3),0)</f>
        <v>14005</v>
      </c>
      <c r="G312" s="5">
        <f>IFERROR(VLOOKUP(J312, Sheet2!C312:F815,4),0)</f>
        <v>13002</v>
      </c>
      <c r="H312" s="12">
        <f t="shared" si="12"/>
        <v>370888.25</v>
      </c>
      <c r="I312">
        <f t="shared" si="13"/>
        <v>21</v>
      </c>
      <c r="J312" t="str">
        <f t="shared" si="14"/>
        <v>2020-05-21Москва Запад</v>
      </c>
    </row>
    <row r="313" spans="1:10" ht="14.25" customHeight="1" x14ac:dyDescent="0.3">
      <c r="A313" s="15">
        <v>43971</v>
      </c>
      <c r="B313" s="6" t="s">
        <v>21</v>
      </c>
      <c r="C313" s="6">
        <v>219622.5</v>
      </c>
      <c r="D313" s="27">
        <v>21959286</v>
      </c>
      <c r="E313" s="5">
        <f>IFERROR(VLOOKUP(J313,Sheet2!C313:F816,2),0)</f>
        <v>60</v>
      </c>
      <c r="F313" s="5">
        <f>IFERROR(VLOOKUP(J313,Sheet2!C313:F816,3),0)</f>
        <v>13792</v>
      </c>
      <c r="G313" s="5">
        <f>IFERROR(VLOOKUP(J313, Sheet2!C313:F816,4),0)</f>
        <v>12834</v>
      </c>
      <c r="H313" s="12">
        <f t="shared" si="12"/>
        <v>365988.1</v>
      </c>
      <c r="I313">
        <f t="shared" si="13"/>
        <v>21</v>
      </c>
      <c r="J313" t="str">
        <f t="shared" si="14"/>
        <v>2020-05-20Москва Запад</v>
      </c>
    </row>
    <row r="314" spans="1:10" ht="14.25" customHeight="1" x14ac:dyDescent="0.3">
      <c r="A314" s="14">
        <v>43956</v>
      </c>
      <c r="B314" s="4" t="s">
        <v>21</v>
      </c>
      <c r="C314" s="4">
        <v>213582</v>
      </c>
      <c r="D314" s="26">
        <v>21919435.5</v>
      </c>
      <c r="E314" s="5">
        <f>IFERROR(VLOOKUP(J314,Sheet2!C314:F817,2),0)</f>
        <v>0</v>
      </c>
      <c r="F314" s="5">
        <f>IFERROR(VLOOKUP(J314,Sheet2!C314:F817,3),0)</f>
        <v>0</v>
      </c>
      <c r="G314" s="5">
        <f>IFERROR(VLOOKUP(J314, Sheet2!C314:F817,4),0)</f>
        <v>0</v>
      </c>
      <c r="H314" s="12">
        <f t="shared" si="12"/>
        <v>0</v>
      </c>
      <c r="I314">
        <f t="shared" si="13"/>
        <v>19</v>
      </c>
      <c r="J314" t="str">
        <f t="shared" si="14"/>
        <v>2020-05-05Москва Запад</v>
      </c>
    </row>
    <row r="315" spans="1:10" ht="14.25" customHeight="1" x14ac:dyDescent="0.3">
      <c r="A315" s="15">
        <v>43949</v>
      </c>
      <c r="B315" s="6" t="s">
        <v>22</v>
      </c>
      <c r="C315" s="6">
        <v>195705</v>
      </c>
      <c r="D315" s="27">
        <v>20003263.5</v>
      </c>
      <c r="E315" s="5">
        <f>IFERROR(VLOOKUP(J315,Sheet2!C315:F818,2),0)</f>
        <v>0</v>
      </c>
      <c r="F315" s="5">
        <f>IFERROR(VLOOKUP(J315,Sheet2!C315:F818,3),0)</f>
        <v>0</v>
      </c>
      <c r="G315" s="5">
        <f>IFERROR(VLOOKUP(J315, Sheet2!C315:F818,4),0)</f>
        <v>0</v>
      </c>
      <c r="H315" s="12">
        <f t="shared" si="12"/>
        <v>0</v>
      </c>
      <c r="I315">
        <f t="shared" si="13"/>
        <v>18</v>
      </c>
      <c r="J315" t="str">
        <f t="shared" si="14"/>
        <v>2020-04-28Москва Восток</v>
      </c>
    </row>
    <row r="316" spans="1:10" ht="14.25" customHeight="1" x14ac:dyDescent="0.3">
      <c r="A316" s="14">
        <v>43964</v>
      </c>
      <c r="B316" s="4" t="s">
        <v>21</v>
      </c>
      <c r="C316" s="4">
        <v>193722</v>
      </c>
      <c r="D316" s="26">
        <v>19437273</v>
      </c>
      <c r="E316" s="5">
        <f>IFERROR(VLOOKUP(J316,Sheet2!C316:F819,2),0)</f>
        <v>0</v>
      </c>
      <c r="F316" s="5">
        <f>IFERROR(VLOOKUP(J316,Sheet2!C316:F819,3),0)</f>
        <v>0</v>
      </c>
      <c r="G316" s="5">
        <f>IFERROR(VLOOKUP(J316, Sheet2!C316:F819,4),0)</f>
        <v>0</v>
      </c>
      <c r="H316" s="12">
        <f t="shared" si="12"/>
        <v>0</v>
      </c>
      <c r="I316">
        <f t="shared" si="13"/>
        <v>20</v>
      </c>
      <c r="J316" t="str">
        <f t="shared" si="14"/>
        <v>2020-05-13Москва Запад</v>
      </c>
    </row>
    <row r="317" spans="1:10" ht="14.25" customHeight="1" x14ac:dyDescent="0.3">
      <c r="A317" s="15">
        <v>43954</v>
      </c>
      <c r="B317" s="6" t="s">
        <v>21</v>
      </c>
      <c r="C317" s="6">
        <v>257215.5</v>
      </c>
      <c r="D317" s="27">
        <v>26492278.5</v>
      </c>
      <c r="E317" s="5">
        <f>IFERROR(VLOOKUP(J317,Sheet2!C317:F820,2),0)</f>
        <v>0</v>
      </c>
      <c r="F317" s="5">
        <f>IFERROR(VLOOKUP(J317,Sheet2!C317:F820,3),0)</f>
        <v>0</v>
      </c>
      <c r="G317" s="5">
        <f>IFERROR(VLOOKUP(J317, Sheet2!C317:F820,4),0)</f>
        <v>0</v>
      </c>
      <c r="H317" s="12">
        <f t="shared" si="12"/>
        <v>0</v>
      </c>
      <c r="I317">
        <f t="shared" si="13"/>
        <v>18</v>
      </c>
      <c r="J317" t="str">
        <f t="shared" si="14"/>
        <v>2020-05-03Москва Запад</v>
      </c>
    </row>
    <row r="318" spans="1:10" ht="14.25" customHeight="1" x14ac:dyDescent="0.3">
      <c r="A318" s="14">
        <v>43957</v>
      </c>
      <c r="B318" s="4" t="s">
        <v>21</v>
      </c>
      <c r="C318" s="4">
        <v>224779.5</v>
      </c>
      <c r="D318" s="26">
        <v>23032992</v>
      </c>
      <c r="E318" s="5">
        <f>IFERROR(VLOOKUP(J318,Sheet2!C318:F821,2),0)</f>
        <v>0</v>
      </c>
      <c r="F318" s="5">
        <f>IFERROR(VLOOKUP(J318,Sheet2!C318:F821,3),0)</f>
        <v>0</v>
      </c>
      <c r="G318" s="5">
        <f>IFERROR(VLOOKUP(J318, Sheet2!C318:F821,4),0)</f>
        <v>0</v>
      </c>
      <c r="H318" s="12">
        <f t="shared" si="12"/>
        <v>0</v>
      </c>
      <c r="I318">
        <f t="shared" si="13"/>
        <v>19</v>
      </c>
      <c r="J318" t="str">
        <f t="shared" si="14"/>
        <v>2020-05-06Москва Запад</v>
      </c>
    </row>
    <row r="319" spans="1:10" ht="14.25" customHeight="1" x14ac:dyDescent="0.3">
      <c r="A319" s="15">
        <v>43974</v>
      </c>
      <c r="B319" s="6" t="s">
        <v>21</v>
      </c>
      <c r="C319" s="6">
        <v>292018.5</v>
      </c>
      <c r="D319" s="27">
        <v>28590910.5</v>
      </c>
      <c r="E319" s="5">
        <f>IFERROR(VLOOKUP(J319,Sheet2!C319:F822,2),0)</f>
        <v>60</v>
      </c>
      <c r="F319" s="5">
        <f>IFERROR(VLOOKUP(J319,Sheet2!C319:F822,3),0)</f>
        <v>17295</v>
      </c>
      <c r="G319" s="5">
        <f>IFERROR(VLOOKUP(J319, Sheet2!C319:F822,4),0)</f>
        <v>16010</v>
      </c>
      <c r="H319" s="12">
        <f t="shared" si="12"/>
        <v>476515.17499999999</v>
      </c>
      <c r="I319">
        <f t="shared" si="13"/>
        <v>21</v>
      </c>
      <c r="J319" t="str">
        <f t="shared" si="14"/>
        <v>2020-05-23Москва Запад</v>
      </c>
    </row>
    <row r="320" spans="1:10" ht="14.25" customHeight="1" x14ac:dyDescent="0.3">
      <c r="A320" s="14">
        <v>43976</v>
      </c>
      <c r="B320" s="4" t="s">
        <v>21</v>
      </c>
      <c r="C320" s="4">
        <v>198751.5</v>
      </c>
      <c r="D320" s="26">
        <v>20582743.5</v>
      </c>
      <c r="E320" s="5">
        <f>IFERROR(VLOOKUP(J320,Sheet2!C320:F823,2),0)</f>
        <v>59</v>
      </c>
      <c r="F320" s="5">
        <f>IFERROR(VLOOKUP(J320,Sheet2!C320:F823,3),0)</f>
        <v>12983</v>
      </c>
      <c r="G320" s="5">
        <f>IFERROR(VLOOKUP(J320, Sheet2!C320:F823,4),0)</f>
        <v>12056</v>
      </c>
      <c r="H320" s="12">
        <f t="shared" si="12"/>
        <v>348860.05932203389</v>
      </c>
      <c r="I320">
        <f t="shared" si="13"/>
        <v>22</v>
      </c>
      <c r="J320" t="str">
        <f t="shared" si="14"/>
        <v>2020-05-25Москва Запад</v>
      </c>
    </row>
    <row r="321" spans="1:10" ht="14.25" customHeight="1" x14ac:dyDescent="0.3">
      <c r="A321" s="15">
        <v>43951</v>
      </c>
      <c r="B321" s="6" t="s">
        <v>21</v>
      </c>
      <c r="C321" s="6">
        <v>214386</v>
      </c>
      <c r="D321" s="27">
        <v>22530000</v>
      </c>
      <c r="E321" s="5">
        <f>IFERROR(VLOOKUP(J321,Sheet2!C321:F824,2),0)</f>
        <v>0</v>
      </c>
      <c r="F321" s="5">
        <f>IFERROR(VLOOKUP(J321,Sheet2!C321:F824,3),0)</f>
        <v>0</v>
      </c>
      <c r="G321" s="5">
        <f>IFERROR(VLOOKUP(J321, Sheet2!C321:F824,4),0)</f>
        <v>0</v>
      </c>
      <c r="H321" s="12">
        <f t="shared" si="12"/>
        <v>0</v>
      </c>
      <c r="I321">
        <f t="shared" si="13"/>
        <v>18</v>
      </c>
      <c r="J321" t="str">
        <f t="shared" si="14"/>
        <v>2020-04-30Москва Запад</v>
      </c>
    </row>
    <row r="322" spans="1:10" ht="14.25" customHeight="1" x14ac:dyDescent="0.3">
      <c r="A322" s="14">
        <v>43961</v>
      </c>
      <c r="B322" s="4" t="s">
        <v>21</v>
      </c>
      <c r="C322" s="4">
        <v>243825</v>
      </c>
      <c r="D322" s="26">
        <v>24890404.5</v>
      </c>
      <c r="E322" s="5">
        <f>IFERROR(VLOOKUP(J322,Sheet2!C322:F825,2),0)</f>
        <v>0</v>
      </c>
      <c r="F322" s="5">
        <f>IFERROR(VLOOKUP(J322,Sheet2!C322:F825,3),0)</f>
        <v>0</v>
      </c>
      <c r="G322" s="5">
        <f>IFERROR(VLOOKUP(J322, Sheet2!C322:F825,4),0)</f>
        <v>0</v>
      </c>
      <c r="H322" s="12">
        <f t="shared" si="12"/>
        <v>0</v>
      </c>
      <c r="I322">
        <f t="shared" si="13"/>
        <v>19</v>
      </c>
      <c r="J322" t="str">
        <f t="shared" si="14"/>
        <v>2020-05-10Москва Запад</v>
      </c>
    </row>
    <row r="323" spans="1:10" ht="14.25" customHeight="1" x14ac:dyDescent="0.3">
      <c r="A323" s="15">
        <v>43959</v>
      </c>
      <c r="B323" s="6" t="s">
        <v>21</v>
      </c>
      <c r="C323" s="6">
        <v>232701</v>
      </c>
      <c r="D323" s="27">
        <v>23881948.5</v>
      </c>
      <c r="E323" s="5">
        <f>IFERROR(VLOOKUP(J323,Sheet2!C323:F826,2),0)</f>
        <v>0</v>
      </c>
      <c r="F323" s="5">
        <f>IFERROR(VLOOKUP(J323,Sheet2!C323:F826,3),0)</f>
        <v>0</v>
      </c>
      <c r="G323" s="5">
        <f>IFERROR(VLOOKUP(J323, Sheet2!C323:F826,4),0)</f>
        <v>0</v>
      </c>
      <c r="H323" s="12">
        <f t="shared" ref="H323:H386" si="15">IF(VALUE(E323)&gt;0, D323/VALUE(E323), 0)</f>
        <v>0</v>
      </c>
      <c r="I323">
        <f t="shared" ref="I323:I386" si="16">_xlfn.ISOWEEKNUM(A323)</f>
        <v>19</v>
      </c>
      <c r="J323" t="str">
        <f t="shared" ref="J323:J386" si="17">TEXT(A323,"yyyy-mm-dd") &amp; TRIM(B323)</f>
        <v>2020-05-08Москва Запад</v>
      </c>
    </row>
    <row r="324" spans="1:10" ht="14.25" customHeight="1" x14ac:dyDescent="0.3">
      <c r="A324" s="14">
        <v>43958</v>
      </c>
      <c r="B324" s="4" t="s">
        <v>21</v>
      </c>
      <c r="C324" s="4">
        <v>219411</v>
      </c>
      <c r="D324" s="26">
        <v>22460130</v>
      </c>
      <c r="E324" s="5">
        <f>IFERROR(VLOOKUP(J324,Sheet2!C324:F827,2),0)</f>
        <v>0</v>
      </c>
      <c r="F324" s="5">
        <f>IFERROR(VLOOKUP(J324,Sheet2!C324:F827,3),0)</f>
        <v>0</v>
      </c>
      <c r="G324" s="5">
        <f>IFERROR(VLOOKUP(J324, Sheet2!C324:F827,4),0)</f>
        <v>0</v>
      </c>
      <c r="H324" s="12">
        <f t="shared" si="15"/>
        <v>0</v>
      </c>
      <c r="I324">
        <f t="shared" si="16"/>
        <v>19</v>
      </c>
      <c r="J324" t="str">
        <f t="shared" si="17"/>
        <v>2020-05-07Москва Запад</v>
      </c>
    </row>
    <row r="325" spans="1:10" ht="14.25" customHeight="1" x14ac:dyDescent="0.3">
      <c r="A325" s="15">
        <v>43975</v>
      </c>
      <c r="B325" s="6" t="s">
        <v>21</v>
      </c>
      <c r="C325" s="6">
        <v>200029.5</v>
      </c>
      <c r="D325" s="27">
        <v>19959801</v>
      </c>
      <c r="E325" s="5">
        <f>IFERROR(VLOOKUP(J325,Sheet2!C325:F828,2),0)</f>
        <v>60</v>
      </c>
      <c r="F325" s="5">
        <f>IFERROR(VLOOKUP(J325,Sheet2!C325:F828,3),0)</f>
        <v>12822</v>
      </c>
      <c r="G325" s="5">
        <f>IFERROR(VLOOKUP(J325, Sheet2!C325:F828,4),0)</f>
        <v>11916</v>
      </c>
      <c r="H325" s="12">
        <f t="shared" si="15"/>
        <v>332663.34999999998</v>
      </c>
      <c r="I325">
        <f t="shared" si="16"/>
        <v>21</v>
      </c>
      <c r="J325" t="str">
        <f t="shared" si="17"/>
        <v>2020-05-24Москва Запад</v>
      </c>
    </row>
    <row r="326" spans="1:10" ht="14.25" customHeight="1" x14ac:dyDescent="0.3">
      <c r="A326" s="14">
        <v>43967</v>
      </c>
      <c r="B326" s="4" t="s">
        <v>22</v>
      </c>
      <c r="C326" s="4">
        <v>225480</v>
      </c>
      <c r="D326" s="26">
        <v>22355338.5</v>
      </c>
      <c r="E326" s="5">
        <f>IFERROR(VLOOKUP(J326,Sheet2!C326:F829,2),0)</f>
        <v>0</v>
      </c>
      <c r="F326" s="5">
        <f>IFERROR(VLOOKUP(J326,Sheet2!C326:F829,3),0)</f>
        <v>0</v>
      </c>
      <c r="G326" s="5">
        <f>IFERROR(VLOOKUP(J326, Sheet2!C326:F829,4),0)</f>
        <v>0</v>
      </c>
      <c r="H326" s="12">
        <f t="shared" si="15"/>
        <v>0</v>
      </c>
      <c r="I326">
        <f t="shared" si="16"/>
        <v>20</v>
      </c>
      <c r="J326" t="str">
        <f t="shared" si="17"/>
        <v>2020-05-16Москва Восток</v>
      </c>
    </row>
    <row r="327" spans="1:10" ht="14.25" customHeight="1" x14ac:dyDescent="0.3">
      <c r="A327" s="15">
        <v>43970</v>
      </c>
      <c r="B327" s="6" t="s">
        <v>22</v>
      </c>
      <c r="C327" s="6">
        <v>211453.5</v>
      </c>
      <c r="D327" s="27">
        <v>20590072.5</v>
      </c>
      <c r="E327" s="5">
        <f>IFERROR(VLOOKUP(J327,Sheet2!C327:F830,2),0)</f>
        <v>0</v>
      </c>
      <c r="F327" s="5">
        <f>IFERROR(VLOOKUP(J327,Sheet2!C327:F830,3),0)</f>
        <v>0</v>
      </c>
      <c r="G327" s="5">
        <f>IFERROR(VLOOKUP(J327, Sheet2!C327:F830,4),0)</f>
        <v>0</v>
      </c>
      <c r="H327" s="12">
        <f t="shared" si="15"/>
        <v>0</v>
      </c>
      <c r="I327">
        <f t="shared" si="16"/>
        <v>21</v>
      </c>
      <c r="J327" t="str">
        <f t="shared" si="17"/>
        <v>2020-05-19Москва Восток</v>
      </c>
    </row>
    <row r="328" spans="1:10" ht="14.25" customHeight="1" x14ac:dyDescent="0.3">
      <c r="A328" s="14">
        <v>43968</v>
      </c>
      <c r="B328" s="4" t="s">
        <v>22</v>
      </c>
      <c r="C328" s="4">
        <v>184801.5</v>
      </c>
      <c r="D328" s="26">
        <v>18449091</v>
      </c>
      <c r="E328" s="5">
        <f>IFERROR(VLOOKUP(J328,Sheet2!C328:F831,2),0)</f>
        <v>0</v>
      </c>
      <c r="F328" s="5">
        <f>IFERROR(VLOOKUP(J328,Sheet2!C328:F831,3),0)</f>
        <v>0</v>
      </c>
      <c r="G328" s="5">
        <f>IFERROR(VLOOKUP(J328, Sheet2!C328:F831,4),0)</f>
        <v>0</v>
      </c>
      <c r="H328" s="12">
        <f t="shared" si="15"/>
        <v>0</v>
      </c>
      <c r="I328">
        <f t="shared" si="16"/>
        <v>20</v>
      </c>
      <c r="J328" t="str">
        <f t="shared" si="17"/>
        <v>2020-05-17Москва Восток</v>
      </c>
    </row>
    <row r="329" spans="1:10" ht="14.25" customHeight="1" x14ac:dyDescent="0.3">
      <c r="A329" s="15">
        <v>43960</v>
      </c>
      <c r="B329" s="6" t="s">
        <v>22</v>
      </c>
      <c r="C329" s="6">
        <v>177976.5</v>
      </c>
      <c r="D329" s="27">
        <v>18085798.5</v>
      </c>
      <c r="E329" s="5">
        <f>IFERROR(VLOOKUP(J329,Sheet2!C329:F832,2),0)</f>
        <v>0</v>
      </c>
      <c r="F329" s="5">
        <f>IFERROR(VLOOKUP(J329,Sheet2!C329:F832,3),0)</f>
        <v>0</v>
      </c>
      <c r="G329" s="5">
        <f>IFERROR(VLOOKUP(J329, Sheet2!C329:F832,4),0)</f>
        <v>0</v>
      </c>
      <c r="H329" s="12">
        <f t="shared" si="15"/>
        <v>0</v>
      </c>
      <c r="I329">
        <f t="shared" si="16"/>
        <v>19</v>
      </c>
      <c r="J329" t="str">
        <f t="shared" si="17"/>
        <v>2020-05-09Москва Восток</v>
      </c>
    </row>
    <row r="330" spans="1:10" ht="14.25" customHeight="1" x14ac:dyDescent="0.3">
      <c r="A330" s="14">
        <v>43955</v>
      </c>
      <c r="B330" s="4" t="s">
        <v>22</v>
      </c>
      <c r="C330" s="4">
        <v>223617</v>
      </c>
      <c r="D330" s="26">
        <v>22796827.5</v>
      </c>
      <c r="E330" s="5">
        <f>IFERROR(VLOOKUP(J330,Sheet2!C330:F833,2),0)</f>
        <v>0</v>
      </c>
      <c r="F330" s="5">
        <f>IFERROR(VLOOKUP(J330,Sheet2!C330:F833,3),0)</f>
        <v>0</v>
      </c>
      <c r="G330" s="5">
        <f>IFERROR(VLOOKUP(J330, Sheet2!C330:F833,4),0)</f>
        <v>0</v>
      </c>
      <c r="H330" s="12">
        <f t="shared" si="15"/>
        <v>0</v>
      </c>
      <c r="I330">
        <f t="shared" si="16"/>
        <v>19</v>
      </c>
      <c r="J330" t="str">
        <f t="shared" si="17"/>
        <v>2020-05-04Москва Восток</v>
      </c>
    </row>
    <row r="331" spans="1:10" ht="14.25" customHeight="1" x14ac:dyDescent="0.3">
      <c r="A331" s="15">
        <v>43953</v>
      </c>
      <c r="B331" s="6" t="s">
        <v>22</v>
      </c>
      <c r="C331" s="6">
        <v>176397</v>
      </c>
      <c r="D331" s="27">
        <v>18625921.5</v>
      </c>
      <c r="E331" s="5">
        <f>IFERROR(VLOOKUP(J331,Sheet2!C331:F834,2),0)</f>
        <v>0</v>
      </c>
      <c r="F331" s="5">
        <f>IFERROR(VLOOKUP(J331,Sheet2!C331:F834,3),0)</f>
        <v>0</v>
      </c>
      <c r="G331" s="5">
        <f>IFERROR(VLOOKUP(J331, Sheet2!C331:F834,4),0)</f>
        <v>0</v>
      </c>
      <c r="H331" s="12">
        <f t="shared" si="15"/>
        <v>0</v>
      </c>
      <c r="I331">
        <f t="shared" si="16"/>
        <v>18</v>
      </c>
      <c r="J331" t="str">
        <f t="shared" si="17"/>
        <v>2020-05-02Москва Восток</v>
      </c>
    </row>
    <row r="332" spans="1:10" ht="14.25" customHeight="1" x14ac:dyDescent="0.3">
      <c r="A332" s="14">
        <v>43977</v>
      </c>
      <c r="B332" s="4" t="s">
        <v>22</v>
      </c>
      <c r="C332" s="4">
        <v>232369.5</v>
      </c>
      <c r="D332" s="26">
        <v>23856345</v>
      </c>
      <c r="E332" s="5">
        <f>IFERROR(VLOOKUP(J332,Sheet2!C332:F835,2),0)</f>
        <v>54</v>
      </c>
      <c r="F332" s="5">
        <f>IFERROR(VLOOKUP(J332,Sheet2!C332:F835,3),0)</f>
        <v>14482</v>
      </c>
      <c r="G332" s="5">
        <f>IFERROR(VLOOKUP(J332, Sheet2!C332:F835,4),0)</f>
        <v>13510</v>
      </c>
      <c r="H332" s="12">
        <f t="shared" si="15"/>
        <v>441784.16666666669</v>
      </c>
      <c r="I332">
        <f t="shared" si="16"/>
        <v>22</v>
      </c>
      <c r="J332" t="str">
        <f t="shared" si="17"/>
        <v>2020-05-26Москва Восток</v>
      </c>
    </row>
    <row r="333" spans="1:10" ht="14.25" customHeight="1" x14ac:dyDescent="0.3">
      <c r="A333" s="15">
        <v>43952</v>
      </c>
      <c r="B333" s="6" t="s">
        <v>22</v>
      </c>
      <c r="C333" s="6">
        <v>226540.5</v>
      </c>
      <c r="D333" s="27">
        <v>23953536</v>
      </c>
      <c r="E333" s="5">
        <f>IFERROR(VLOOKUP(J333,Sheet2!C333:F836,2),0)</f>
        <v>0</v>
      </c>
      <c r="F333" s="5">
        <f>IFERROR(VLOOKUP(J333,Sheet2!C333:F836,3),0)</f>
        <v>0</v>
      </c>
      <c r="G333" s="5">
        <f>IFERROR(VLOOKUP(J333, Sheet2!C333:F836,4),0)</f>
        <v>0</v>
      </c>
      <c r="H333" s="12">
        <f t="shared" si="15"/>
        <v>0</v>
      </c>
      <c r="I333">
        <f t="shared" si="16"/>
        <v>18</v>
      </c>
      <c r="J333" t="str">
        <f t="shared" si="17"/>
        <v>2020-05-01Москва Восток</v>
      </c>
    </row>
    <row r="334" spans="1:10" ht="14.25" customHeight="1" x14ac:dyDescent="0.3">
      <c r="A334" s="14">
        <v>43963</v>
      </c>
      <c r="B334" s="4" t="s">
        <v>22</v>
      </c>
      <c r="C334" s="4">
        <v>189679.5</v>
      </c>
      <c r="D334" s="26">
        <v>18718036.5</v>
      </c>
      <c r="E334" s="5">
        <f>IFERROR(VLOOKUP(J334,Sheet2!C334:F837,2),0)</f>
        <v>0</v>
      </c>
      <c r="F334" s="5">
        <f>IFERROR(VLOOKUP(J334,Sheet2!C334:F837,3),0)</f>
        <v>0</v>
      </c>
      <c r="G334" s="5">
        <f>IFERROR(VLOOKUP(J334, Sheet2!C334:F837,4),0)</f>
        <v>0</v>
      </c>
      <c r="H334" s="12">
        <f t="shared" si="15"/>
        <v>0</v>
      </c>
      <c r="I334">
        <f t="shared" si="16"/>
        <v>20</v>
      </c>
      <c r="J334" t="str">
        <f t="shared" si="17"/>
        <v>2020-05-12Москва Восток</v>
      </c>
    </row>
    <row r="335" spans="1:10" ht="14.25" customHeight="1" x14ac:dyDescent="0.3">
      <c r="A335" s="15">
        <v>43972</v>
      </c>
      <c r="B335" s="6" t="s">
        <v>22</v>
      </c>
      <c r="C335" s="6">
        <v>213640.5</v>
      </c>
      <c r="D335" s="27">
        <v>21042673.5</v>
      </c>
      <c r="E335" s="5">
        <f>IFERROR(VLOOKUP(J335,Sheet2!C335:F838,2),0)</f>
        <v>0</v>
      </c>
      <c r="F335" s="5">
        <f>IFERROR(VLOOKUP(J335,Sheet2!C335:F838,3),0)</f>
        <v>0</v>
      </c>
      <c r="G335" s="5">
        <f>IFERROR(VLOOKUP(J335, Sheet2!C335:F838,4),0)</f>
        <v>0</v>
      </c>
      <c r="H335" s="12">
        <f t="shared" si="15"/>
        <v>0</v>
      </c>
      <c r="I335">
        <f t="shared" si="16"/>
        <v>21</v>
      </c>
      <c r="J335" t="str">
        <f t="shared" si="17"/>
        <v>2020-05-21Москва Восток</v>
      </c>
    </row>
    <row r="336" spans="1:10" ht="14.25" customHeight="1" x14ac:dyDescent="0.3">
      <c r="A336" s="14">
        <v>43971</v>
      </c>
      <c r="B336" s="4" t="s">
        <v>22</v>
      </c>
      <c r="C336" s="4">
        <v>214885.5</v>
      </c>
      <c r="D336" s="26">
        <v>21411349.5</v>
      </c>
      <c r="E336" s="5">
        <f>IFERROR(VLOOKUP(J336,Sheet2!C336:F839,2),0)</f>
        <v>0</v>
      </c>
      <c r="F336" s="5">
        <f>IFERROR(VLOOKUP(J336,Sheet2!C336:F839,3),0)</f>
        <v>0</v>
      </c>
      <c r="G336" s="5">
        <f>IFERROR(VLOOKUP(J336, Sheet2!C336:F839,4),0)</f>
        <v>0</v>
      </c>
      <c r="H336" s="12">
        <f t="shared" si="15"/>
        <v>0</v>
      </c>
      <c r="I336">
        <f t="shared" si="16"/>
        <v>21</v>
      </c>
      <c r="J336" t="str">
        <f t="shared" si="17"/>
        <v>2020-05-20Москва Восток</v>
      </c>
    </row>
    <row r="337" spans="1:10" ht="14.25" customHeight="1" x14ac:dyDescent="0.3">
      <c r="A337" s="15">
        <v>43956</v>
      </c>
      <c r="B337" s="6" t="s">
        <v>22</v>
      </c>
      <c r="C337" s="6">
        <v>203832</v>
      </c>
      <c r="D337" s="27">
        <v>20880142.5</v>
      </c>
      <c r="E337" s="5">
        <f>IFERROR(VLOOKUP(J337,Sheet2!C337:F840,2),0)</f>
        <v>0</v>
      </c>
      <c r="F337" s="5">
        <f>IFERROR(VLOOKUP(J337,Sheet2!C337:F840,3),0)</f>
        <v>0</v>
      </c>
      <c r="G337" s="5">
        <f>IFERROR(VLOOKUP(J337, Sheet2!C337:F840,4),0)</f>
        <v>0</v>
      </c>
      <c r="H337" s="12">
        <f t="shared" si="15"/>
        <v>0</v>
      </c>
      <c r="I337">
        <f t="shared" si="16"/>
        <v>19</v>
      </c>
      <c r="J337" t="str">
        <f t="shared" si="17"/>
        <v>2020-05-05Москва Восток</v>
      </c>
    </row>
    <row r="338" spans="1:10" ht="14.25" customHeight="1" x14ac:dyDescent="0.3">
      <c r="A338" s="14">
        <v>43964</v>
      </c>
      <c r="B338" s="4" t="s">
        <v>22</v>
      </c>
      <c r="C338" s="4">
        <v>188662.5</v>
      </c>
      <c r="D338" s="26">
        <v>18784000.5</v>
      </c>
      <c r="E338" s="5">
        <f>IFERROR(VLOOKUP(J338,Sheet2!C338:F841,2),0)</f>
        <v>0</v>
      </c>
      <c r="F338" s="5">
        <f>IFERROR(VLOOKUP(J338,Sheet2!C338:F841,3),0)</f>
        <v>0</v>
      </c>
      <c r="G338" s="5">
        <f>IFERROR(VLOOKUP(J338, Sheet2!C338:F841,4),0)</f>
        <v>0</v>
      </c>
      <c r="H338" s="12">
        <f t="shared" si="15"/>
        <v>0</v>
      </c>
      <c r="I338">
        <f t="shared" si="16"/>
        <v>20</v>
      </c>
      <c r="J338" t="str">
        <f t="shared" si="17"/>
        <v>2020-05-13Москва Восток</v>
      </c>
    </row>
    <row r="339" spans="1:10" ht="14.25" customHeight="1" x14ac:dyDescent="0.3">
      <c r="A339" s="15">
        <v>43982</v>
      </c>
      <c r="B339" s="6" t="s">
        <v>21</v>
      </c>
      <c r="C339" s="6">
        <v>215277</v>
      </c>
      <c r="D339" s="27">
        <v>21585316.5</v>
      </c>
      <c r="E339" s="5">
        <f>IFERROR(VLOOKUP(J339,Sheet2!C339:F842,2),0)</f>
        <v>59</v>
      </c>
      <c r="F339" s="5">
        <f>IFERROR(VLOOKUP(J339,Sheet2!C339:F842,3),0)</f>
        <v>13684</v>
      </c>
      <c r="G339" s="5">
        <f>IFERROR(VLOOKUP(J339, Sheet2!C339:F842,4),0)</f>
        <v>12690</v>
      </c>
      <c r="H339" s="12">
        <f t="shared" si="15"/>
        <v>365852.82203389832</v>
      </c>
      <c r="I339">
        <f t="shared" si="16"/>
        <v>22</v>
      </c>
      <c r="J339" t="str">
        <f t="shared" si="17"/>
        <v>2020-05-31Москва Запад</v>
      </c>
    </row>
    <row r="340" spans="1:10" ht="14.25" customHeight="1" x14ac:dyDescent="0.3">
      <c r="A340" s="14">
        <v>43954</v>
      </c>
      <c r="B340" s="4" t="s">
        <v>22</v>
      </c>
      <c r="C340" s="4">
        <v>248148</v>
      </c>
      <c r="D340" s="26">
        <v>25519072.5</v>
      </c>
      <c r="E340" s="5">
        <f>IFERROR(VLOOKUP(J340,Sheet2!C340:F843,2),0)</f>
        <v>0</v>
      </c>
      <c r="F340" s="5">
        <f>IFERROR(VLOOKUP(J340,Sheet2!C340:F843,3),0)</f>
        <v>0</v>
      </c>
      <c r="G340" s="5">
        <f>IFERROR(VLOOKUP(J340, Sheet2!C340:F843,4),0)</f>
        <v>0</v>
      </c>
      <c r="H340" s="12">
        <f t="shared" si="15"/>
        <v>0</v>
      </c>
      <c r="I340">
        <f t="shared" si="16"/>
        <v>18</v>
      </c>
      <c r="J340" t="str">
        <f t="shared" si="17"/>
        <v>2020-05-03Москва Восток</v>
      </c>
    </row>
    <row r="341" spans="1:10" ht="14.25" customHeight="1" x14ac:dyDescent="0.3">
      <c r="A341" s="15">
        <v>43981</v>
      </c>
      <c r="B341" s="6" t="s">
        <v>21</v>
      </c>
      <c r="C341" s="6">
        <v>246414</v>
      </c>
      <c r="D341" s="27">
        <v>24527245.5</v>
      </c>
      <c r="E341" s="5">
        <f>IFERROR(VLOOKUP(J341,Sheet2!C341:F844,2),0)</f>
        <v>59</v>
      </c>
      <c r="F341" s="5">
        <f>IFERROR(VLOOKUP(J341,Sheet2!C341:F844,3),0)</f>
        <v>15030</v>
      </c>
      <c r="G341" s="5">
        <f>IFERROR(VLOOKUP(J341, Sheet2!C341:F844,4),0)</f>
        <v>13956</v>
      </c>
      <c r="H341" s="12">
        <f t="shared" si="15"/>
        <v>415716.0254237288</v>
      </c>
      <c r="I341">
        <f t="shared" si="16"/>
        <v>22</v>
      </c>
      <c r="J341" t="str">
        <f t="shared" si="17"/>
        <v>2020-05-30Москва Запад</v>
      </c>
    </row>
    <row r="342" spans="1:10" ht="14.25" customHeight="1" x14ac:dyDescent="0.3">
      <c r="A342" s="14">
        <v>43957</v>
      </c>
      <c r="B342" s="4" t="s">
        <v>22</v>
      </c>
      <c r="C342" s="4">
        <v>216498</v>
      </c>
      <c r="D342" s="26">
        <v>22126444.5</v>
      </c>
      <c r="E342" s="5">
        <f>IFERROR(VLOOKUP(J342,Sheet2!C342:F845,2),0)</f>
        <v>0</v>
      </c>
      <c r="F342" s="5">
        <f>IFERROR(VLOOKUP(J342,Sheet2!C342:F845,3),0)</f>
        <v>0</v>
      </c>
      <c r="G342" s="5">
        <f>IFERROR(VLOOKUP(J342, Sheet2!C342:F845,4),0)</f>
        <v>0</v>
      </c>
      <c r="H342" s="12">
        <f t="shared" si="15"/>
        <v>0</v>
      </c>
      <c r="I342">
        <f t="shared" si="16"/>
        <v>19</v>
      </c>
      <c r="J342" t="str">
        <f t="shared" si="17"/>
        <v>2020-05-06Москва Восток</v>
      </c>
    </row>
    <row r="343" spans="1:10" ht="14.25" customHeight="1" x14ac:dyDescent="0.3">
      <c r="A343" s="15">
        <v>43974</v>
      </c>
      <c r="B343" s="6" t="s">
        <v>22</v>
      </c>
      <c r="C343" s="6">
        <v>275793</v>
      </c>
      <c r="D343" s="27">
        <v>26806626</v>
      </c>
      <c r="E343" s="5">
        <f>IFERROR(VLOOKUP(J343,Sheet2!C343:F846,2),0)</f>
        <v>54</v>
      </c>
      <c r="F343" s="5">
        <f>IFERROR(VLOOKUP(J343,Sheet2!C343:F846,3),0)</f>
        <v>16221</v>
      </c>
      <c r="G343" s="5">
        <f>IFERROR(VLOOKUP(J343, Sheet2!C343:F846,4),0)</f>
        <v>15065</v>
      </c>
      <c r="H343" s="12">
        <f t="shared" si="15"/>
        <v>496419</v>
      </c>
      <c r="I343">
        <f t="shared" si="16"/>
        <v>21</v>
      </c>
      <c r="J343" t="str">
        <f t="shared" si="17"/>
        <v>2020-05-23Москва Восток</v>
      </c>
    </row>
    <row r="344" spans="1:10" ht="14.25" customHeight="1" x14ac:dyDescent="0.3">
      <c r="A344" s="14">
        <v>43979</v>
      </c>
      <c r="B344" s="4" t="s">
        <v>21</v>
      </c>
      <c r="C344" s="4">
        <v>199753.5</v>
      </c>
      <c r="D344" s="26">
        <v>20535733.5</v>
      </c>
      <c r="E344" s="5">
        <f>IFERROR(VLOOKUP(J344,Sheet2!C344:F847,2),0)</f>
        <v>60</v>
      </c>
      <c r="F344" s="5">
        <f>IFERROR(VLOOKUP(J344,Sheet2!C344:F847,3),0)</f>
        <v>12854</v>
      </c>
      <c r="G344" s="5">
        <f>IFERROR(VLOOKUP(J344, Sheet2!C344:F847,4),0)</f>
        <v>11954</v>
      </c>
      <c r="H344" s="12">
        <f t="shared" si="15"/>
        <v>342262.22499999998</v>
      </c>
      <c r="I344">
        <f t="shared" si="16"/>
        <v>22</v>
      </c>
      <c r="J344" t="str">
        <f t="shared" si="17"/>
        <v>2020-05-28Москва Запад</v>
      </c>
    </row>
    <row r="345" spans="1:10" ht="14.25" customHeight="1" x14ac:dyDescent="0.3">
      <c r="A345" s="15">
        <v>43976</v>
      </c>
      <c r="B345" s="6" t="s">
        <v>22</v>
      </c>
      <c r="C345" s="6">
        <v>192948</v>
      </c>
      <c r="D345" s="27">
        <v>19806927</v>
      </c>
      <c r="E345" s="5">
        <f>IFERROR(VLOOKUP(J345,Sheet2!C345:F848,2),0)</f>
        <v>54</v>
      </c>
      <c r="F345" s="5">
        <f>IFERROR(VLOOKUP(J345,Sheet2!C345:F848,3),0)</f>
        <v>12336</v>
      </c>
      <c r="G345" s="5">
        <f>IFERROR(VLOOKUP(J345, Sheet2!C345:F848,4),0)</f>
        <v>11519</v>
      </c>
      <c r="H345" s="12">
        <f t="shared" si="15"/>
        <v>366794.94444444444</v>
      </c>
      <c r="I345">
        <f t="shared" si="16"/>
        <v>22</v>
      </c>
      <c r="J345" t="str">
        <f t="shared" si="17"/>
        <v>2020-05-25Москва Восток</v>
      </c>
    </row>
    <row r="346" spans="1:10" ht="14.25" customHeight="1" x14ac:dyDescent="0.3">
      <c r="A346" s="14">
        <v>43951</v>
      </c>
      <c r="B346" s="4" t="s">
        <v>22</v>
      </c>
      <c r="C346" s="4">
        <v>206038.5</v>
      </c>
      <c r="D346" s="26">
        <v>21740460</v>
      </c>
      <c r="E346" s="5">
        <f>IFERROR(VLOOKUP(J346,Sheet2!C346:F849,2),0)</f>
        <v>0</v>
      </c>
      <c r="F346" s="5">
        <f>IFERROR(VLOOKUP(J346,Sheet2!C346:F849,3),0)</f>
        <v>0</v>
      </c>
      <c r="G346" s="5">
        <f>IFERROR(VLOOKUP(J346, Sheet2!C346:F849,4),0)</f>
        <v>0</v>
      </c>
      <c r="H346" s="12">
        <f t="shared" si="15"/>
        <v>0</v>
      </c>
      <c r="I346">
        <f t="shared" si="16"/>
        <v>18</v>
      </c>
      <c r="J346" t="str">
        <f t="shared" si="17"/>
        <v>2020-04-30Москва Восток</v>
      </c>
    </row>
    <row r="347" spans="1:10" ht="14.25" customHeight="1" x14ac:dyDescent="0.3">
      <c r="A347" s="15">
        <v>43961</v>
      </c>
      <c r="B347" s="6" t="s">
        <v>22</v>
      </c>
      <c r="C347" s="6">
        <v>231559.5</v>
      </c>
      <c r="D347" s="27">
        <v>23443725</v>
      </c>
      <c r="E347" s="5">
        <f>IFERROR(VLOOKUP(J347,Sheet2!C347:F850,2),0)</f>
        <v>0</v>
      </c>
      <c r="F347" s="5">
        <f>IFERROR(VLOOKUP(J347,Sheet2!C347:F850,3),0)</f>
        <v>0</v>
      </c>
      <c r="G347" s="5">
        <f>IFERROR(VLOOKUP(J347, Sheet2!C347:F850,4),0)</f>
        <v>0</v>
      </c>
      <c r="H347" s="12">
        <f t="shared" si="15"/>
        <v>0</v>
      </c>
      <c r="I347">
        <f t="shared" si="16"/>
        <v>19</v>
      </c>
      <c r="J347" t="str">
        <f t="shared" si="17"/>
        <v>2020-05-10Москва Восток</v>
      </c>
    </row>
    <row r="348" spans="1:10" ht="14.25" customHeight="1" x14ac:dyDescent="0.3">
      <c r="A348" s="14">
        <v>43959</v>
      </c>
      <c r="B348" s="4" t="s">
        <v>22</v>
      </c>
      <c r="C348" s="4">
        <v>225076.5</v>
      </c>
      <c r="D348" s="26">
        <v>22846078.5</v>
      </c>
      <c r="E348" s="5">
        <f>IFERROR(VLOOKUP(J348,Sheet2!C348:F851,2),0)</f>
        <v>0</v>
      </c>
      <c r="F348" s="5">
        <f>IFERROR(VLOOKUP(J348,Sheet2!C348:F851,3),0)</f>
        <v>0</v>
      </c>
      <c r="G348" s="5">
        <f>IFERROR(VLOOKUP(J348, Sheet2!C348:F851,4),0)</f>
        <v>0</v>
      </c>
      <c r="H348" s="12">
        <f t="shared" si="15"/>
        <v>0</v>
      </c>
      <c r="I348">
        <f t="shared" si="16"/>
        <v>19</v>
      </c>
      <c r="J348" t="str">
        <f t="shared" si="17"/>
        <v>2020-05-08Москва Восток</v>
      </c>
    </row>
    <row r="349" spans="1:10" ht="14.25" customHeight="1" x14ac:dyDescent="0.3">
      <c r="A349" s="15">
        <v>43958</v>
      </c>
      <c r="B349" s="6" t="s">
        <v>22</v>
      </c>
      <c r="C349" s="6">
        <v>209415</v>
      </c>
      <c r="D349" s="27">
        <v>21463023</v>
      </c>
      <c r="E349" s="5">
        <f>IFERROR(VLOOKUP(J349,Sheet2!C349:F852,2),0)</f>
        <v>0</v>
      </c>
      <c r="F349" s="5">
        <f>IFERROR(VLOOKUP(J349,Sheet2!C349:F852,3),0)</f>
        <v>0</v>
      </c>
      <c r="G349" s="5">
        <f>IFERROR(VLOOKUP(J349, Sheet2!C349:F852,4),0)</f>
        <v>0</v>
      </c>
      <c r="H349" s="12">
        <f t="shared" si="15"/>
        <v>0</v>
      </c>
      <c r="I349">
        <f t="shared" si="16"/>
        <v>19</v>
      </c>
      <c r="J349" t="str">
        <f t="shared" si="17"/>
        <v>2020-05-07Москва Восток</v>
      </c>
    </row>
    <row r="350" spans="1:10" ht="14.25" customHeight="1" x14ac:dyDescent="0.3">
      <c r="A350" s="14">
        <v>43975</v>
      </c>
      <c r="B350" s="4" t="s">
        <v>22</v>
      </c>
      <c r="C350" s="4">
        <v>193719</v>
      </c>
      <c r="D350" s="26">
        <v>19071117</v>
      </c>
      <c r="E350" s="5">
        <f>IFERROR(VLOOKUP(J350,Sheet2!C350:F853,2),0)</f>
        <v>54</v>
      </c>
      <c r="F350" s="5">
        <f>IFERROR(VLOOKUP(J350,Sheet2!C350:F853,3),0)</f>
        <v>12211</v>
      </c>
      <c r="G350" s="5">
        <f>IFERROR(VLOOKUP(J350, Sheet2!C350:F853,4),0)</f>
        <v>11427</v>
      </c>
      <c r="H350" s="12">
        <f t="shared" si="15"/>
        <v>353168.83333333331</v>
      </c>
      <c r="I350">
        <f t="shared" si="16"/>
        <v>21</v>
      </c>
      <c r="J350" t="str">
        <f t="shared" si="17"/>
        <v>2020-05-24Москва Восток</v>
      </c>
    </row>
    <row r="351" spans="1:10" ht="14.25" customHeight="1" x14ac:dyDescent="0.3">
      <c r="A351" s="15">
        <v>43950</v>
      </c>
      <c r="B351" s="6" t="s">
        <v>23</v>
      </c>
      <c r="C351" s="6">
        <v>12250.5</v>
      </c>
      <c r="D351" s="27">
        <v>981519</v>
      </c>
      <c r="E351" s="5">
        <f>IFERROR(VLOOKUP(J351,Sheet2!C351:F854,2),0)</f>
        <v>0</v>
      </c>
      <c r="F351" s="5">
        <f>IFERROR(VLOOKUP(J351,Sheet2!C351:F854,3),0)</f>
        <v>0</v>
      </c>
      <c r="G351" s="5">
        <f>IFERROR(VLOOKUP(J351, Sheet2!C351:F854,4),0)</f>
        <v>0</v>
      </c>
      <c r="H351" s="12">
        <f t="shared" si="15"/>
        <v>0</v>
      </c>
      <c r="I351">
        <f t="shared" si="16"/>
        <v>18</v>
      </c>
      <c r="J351" t="str">
        <f t="shared" si="17"/>
        <v>2020-04-29Новосибирск</v>
      </c>
    </row>
    <row r="352" spans="1:10" ht="14.25" customHeight="1" x14ac:dyDescent="0.3">
      <c r="A352" s="14">
        <v>43949</v>
      </c>
      <c r="B352" s="4" t="s">
        <v>23</v>
      </c>
      <c r="C352" s="4">
        <v>12541.5</v>
      </c>
      <c r="D352" s="26">
        <v>992541</v>
      </c>
      <c r="E352" s="5">
        <f>IFERROR(VLOOKUP(J352,Sheet2!C352:F855,2),0)</f>
        <v>0</v>
      </c>
      <c r="F352" s="5">
        <f>IFERROR(VLOOKUP(J352,Sheet2!C352:F855,3),0)</f>
        <v>0</v>
      </c>
      <c r="G352" s="5">
        <f>IFERROR(VLOOKUP(J352, Sheet2!C352:F855,4),0)</f>
        <v>0</v>
      </c>
      <c r="H352" s="12">
        <f t="shared" si="15"/>
        <v>0</v>
      </c>
      <c r="I352">
        <f t="shared" si="16"/>
        <v>18</v>
      </c>
      <c r="J352" t="str">
        <f t="shared" si="17"/>
        <v>2020-04-28Новосибирск</v>
      </c>
    </row>
    <row r="353" spans="1:10" ht="14.25" customHeight="1" x14ac:dyDescent="0.3">
      <c r="A353" s="15">
        <v>43982</v>
      </c>
      <c r="B353" s="6" t="s">
        <v>22</v>
      </c>
      <c r="C353" s="6">
        <v>206758.5</v>
      </c>
      <c r="D353" s="27">
        <v>20717248.5</v>
      </c>
      <c r="E353" s="5">
        <f>IFERROR(VLOOKUP(J353,Sheet2!C353:F856,2),0)</f>
        <v>54</v>
      </c>
      <c r="F353" s="5">
        <f>IFERROR(VLOOKUP(J353,Sheet2!C353:F856,3),0)</f>
        <v>13106</v>
      </c>
      <c r="G353" s="5">
        <f>IFERROR(VLOOKUP(J353, Sheet2!C353:F856,4),0)</f>
        <v>12164</v>
      </c>
      <c r="H353" s="12">
        <f t="shared" si="15"/>
        <v>383652.75</v>
      </c>
      <c r="I353">
        <f t="shared" si="16"/>
        <v>22</v>
      </c>
      <c r="J353" t="str">
        <f t="shared" si="17"/>
        <v>2020-05-31Москва Восток</v>
      </c>
    </row>
    <row r="354" spans="1:10" ht="14.25" customHeight="1" x14ac:dyDescent="0.3">
      <c r="A354" s="14">
        <v>43981</v>
      </c>
      <c r="B354" s="4" t="s">
        <v>22</v>
      </c>
      <c r="C354" s="4">
        <v>244734</v>
      </c>
      <c r="D354" s="26">
        <v>24151980</v>
      </c>
      <c r="E354" s="5">
        <f>IFERROR(VLOOKUP(J354,Sheet2!C354:F857,2),0)</f>
        <v>54</v>
      </c>
      <c r="F354" s="5">
        <f>IFERROR(VLOOKUP(J354,Sheet2!C354:F857,3),0)</f>
        <v>14590</v>
      </c>
      <c r="G354" s="5">
        <f>IFERROR(VLOOKUP(J354, Sheet2!C354:F857,4),0)</f>
        <v>13551</v>
      </c>
      <c r="H354" s="12">
        <f t="shared" si="15"/>
        <v>447258.88888888888</v>
      </c>
      <c r="I354">
        <f t="shared" si="16"/>
        <v>22</v>
      </c>
      <c r="J354" t="str">
        <f t="shared" si="17"/>
        <v>2020-05-30Москва Восток</v>
      </c>
    </row>
    <row r="355" spans="1:10" ht="14.25" customHeight="1" x14ac:dyDescent="0.3">
      <c r="A355" s="15">
        <v>43979</v>
      </c>
      <c r="B355" s="6" t="s">
        <v>22</v>
      </c>
      <c r="C355" s="6">
        <v>191641.5</v>
      </c>
      <c r="D355" s="27">
        <v>19549036.5</v>
      </c>
      <c r="E355" s="5">
        <f>IFERROR(VLOOKUP(J355,Sheet2!C355:F858,2),0)</f>
        <v>54</v>
      </c>
      <c r="F355" s="5">
        <f>IFERROR(VLOOKUP(J355,Sheet2!C355:F858,3),0)</f>
        <v>12409</v>
      </c>
      <c r="G355" s="5">
        <f>IFERROR(VLOOKUP(J355, Sheet2!C355:F858,4),0)</f>
        <v>11582</v>
      </c>
      <c r="H355" s="12">
        <f t="shared" si="15"/>
        <v>362019.19444444444</v>
      </c>
      <c r="I355">
        <f t="shared" si="16"/>
        <v>22</v>
      </c>
      <c r="J355" t="str">
        <f t="shared" si="17"/>
        <v>2020-05-28Москва Восток</v>
      </c>
    </row>
    <row r="356" spans="1:10" ht="14.25" customHeight="1" x14ac:dyDescent="0.3">
      <c r="A356" s="14">
        <v>43967</v>
      </c>
      <c r="B356" s="4" t="s">
        <v>23</v>
      </c>
      <c r="C356" s="4">
        <v>16368</v>
      </c>
      <c r="D356" s="26">
        <v>1316350.5</v>
      </c>
      <c r="E356" s="5">
        <f>IFERROR(VLOOKUP(J356,Sheet2!C356:F859,2),0)</f>
        <v>0</v>
      </c>
      <c r="F356" s="5">
        <f>IFERROR(VLOOKUP(J356,Sheet2!C356:F859,3),0)</f>
        <v>0</v>
      </c>
      <c r="G356" s="5">
        <f>IFERROR(VLOOKUP(J356, Sheet2!C356:F859,4),0)</f>
        <v>0</v>
      </c>
      <c r="H356" s="12">
        <f t="shared" si="15"/>
        <v>0</v>
      </c>
      <c r="I356">
        <f t="shared" si="16"/>
        <v>20</v>
      </c>
      <c r="J356" t="str">
        <f t="shared" si="17"/>
        <v>2020-05-16Новосибирск</v>
      </c>
    </row>
    <row r="357" spans="1:10" ht="14.25" customHeight="1" x14ac:dyDescent="0.3">
      <c r="A357" s="15">
        <v>43970</v>
      </c>
      <c r="B357" s="6" t="s">
        <v>23</v>
      </c>
      <c r="C357" s="6">
        <v>14427</v>
      </c>
      <c r="D357" s="27">
        <v>1126810.5</v>
      </c>
      <c r="E357" s="5">
        <f>IFERROR(VLOOKUP(J357,Sheet2!C357:F860,2),0)</f>
        <v>0</v>
      </c>
      <c r="F357" s="5">
        <f>IFERROR(VLOOKUP(J357,Sheet2!C357:F860,3),0)</f>
        <v>0</v>
      </c>
      <c r="G357" s="5">
        <f>IFERROR(VLOOKUP(J357, Sheet2!C357:F860,4),0)</f>
        <v>0</v>
      </c>
      <c r="H357" s="12">
        <f t="shared" si="15"/>
        <v>0</v>
      </c>
      <c r="I357">
        <f t="shared" si="16"/>
        <v>21</v>
      </c>
      <c r="J357" t="str">
        <f t="shared" si="17"/>
        <v>2020-05-19Новосибирск</v>
      </c>
    </row>
    <row r="358" spans="1:10" ht="14.25" customHeight="1" x14ac:dyDescent="0.3">
      <c r="A358" s="14">
        <v>43968</v>
      </c>
      <c r="B358" s="4" t="s">
        <v>23</v>
      </c>
      <c r="C358" s="4">
        <v>13440</v>
      </c>
      <c r="D358" s="26">
        <v>1157529</v>
      </c>
      <c r="E358" s="5">
        <f>IFERROR(VLOOKUP(J358,Sheet2!C358:F861,2),0)</f>
        <v>0</v>
      </c>
      <c r="F358" s="5">
        <f>IFERROR(VLOOKUP(J358,Sheet2!C358:F861,3),0)</f>
        <v>0</v>
      </c>
      <c r="G358" s="5">
        <f>IFERROR(VLOOKUP(J358, Sheet2!C358:F861,4),0)</f>
        <v>0</v>
      </c>
      <c r="H358" s="12">
        <f t="shared" si="15"/>
        <v>0</v>
      </c>
      <c r="I358">
        <f t="shared" si="16"/>
        <v>20</v>
      </c>
      <c r="J358" t="str">
        <f t="shared" si="17"/>
        <v>2020-05-17Новосибирск</v>
      </c>
    </row>
    <row r="359" spans="1:10" ht="14.25" customHeight="1" x14ac:dyDescent="0.3">
      <c r="A359" s="15">
        <v>43960</v>
      </c>
      <c r="B359" s="6" t="s">
        <v>23</v>
      </c>
      <c r="C359" s="6">
        <v>11745</v>
      </c>
      <c r="D359" s="27">
        <v>955801.5</v>
      </c>
      <c r="E359" s="5">
        <f>IFERROR(VLOOKUP(J359,Sheet2!C359:F862,2),0)</f>
        <v>0</v>
      </c>
      <c r="F359" s="5">
        <f>IFERROR(VLOOKUP(J359,Sheet2!C359:F862,3),0)</f>
        <v>0</v>
      </c>
      <c r="G359" s="5">
        <f>IFERROR(VLOOKUP(J359, Sheet2!C359:F862,4),0)</f>
        <v>0</v>
      </c>
      <c r="H359" s="12">
        <f t="shared" si="15"/>
        <v>0</v>
      </c>
      <c r="I359">
        <f t="shared" si="16"/>
        <v>19</v>
      </c>
      <c r="J359" t="str">
        <f t="shared" si="17"/>
        <v>2020-05-09Новосибирск</v>
      </c>
    </row>
    <row r="360" spans="1:10" ht="14.25" customHeight="1" x14ac:dyDescent="0.3">
      <c r="A360" s="14">
        <v>43955</v>
      </c>
      <c r="B360" s="4" t="s">
        <v>23</v>
      </c>
      <c r="C360" s="4">
        <v>11062.5</v>
      </c>
      <c r="D360" s="26">
        <v>906343.5</v>
      </c>
      <c r="E360" s="5">
        <f>IFERROR(VLOOKUP(J360,Sheet2!C360:F863,2),0)</f>
        <v>0</v>
      </c>
      <c r="F360" s="5">
        <f>IFERROR(VLOOKUP(J360,Sheet2!C360:F863,3),0)</f>
        <v>0</v>
      </c>
      <c r="G360" s="5">
        <f>IFERROR(VLOOKUP(J360, Sheet2!C360:F863,4),0)</f>
        <v>0</v>
      </c>
      <c r="H360" s="12">
        <f t="shared" si="15"/>
        <v>0</v>
      </c>
      <c r="I360">
        <f t="shared" si="16"/>
        <v>19</v>
      </c>
      <c r="J360" t="str">
        <f t="shared" si="17"/>
        <v>2020-05-04Новосибирск</v>
      </c>
    </row>
    <row r="361" spans="1:10" ht="14.25" customHeight="1" x14ac:dyDescent="0.3">
      <c r="A361" s="15">
        <v>43953</v>
      </c>
      <c r="B361" s="6" t="s">
        <v>23</v>
      </c>
      <c r="C361" s="6">
        <v>10018.5</v>
      </c>
      <c r="D361" s="27">
        <v>816859.5</v>
      </c>
      <c r="E361" s="5">
        <f>IFERROR(VLOOKUP(J361,Sheet2!C361:F864,2),0)</f>
        <v>0</v>
      </c>
      <c r="F361" s="5">
        <f>IFERROR(VLOOKUP(J361,Sheet2!C361:F864,3),0)</f>
        <v>0</v>
      </c>
      <c r="G361" s="5">
        <f>IFERROR(VLOOKUP(J361, Sheet2!C361:F864,4),0)</f>
        <v>0</v>
      </c>
      <c r="H361" s="12">
        <f t="shared" si="15"/>
        <v>0</v>
      </c>
      <c r="I361">
        <f t="shared" si="16"/>
        <v>18</v>
      </c>
      <c r="J361" t="str">
        <f t="shared" si="17"/>
        <v>2020-05-02Новосибирск</v>
      </c>
    </row>
    <row r="362" spans="1:10" ht="14.25" customHeight="1" x14ac:dyDescent="0.3">
      <c r="A362" s="14">
        <v>43977</v>
      </c>
      <c r="B362" s="4" t="s">
        <v>24</v>
      </c>
      <c r="C362" s="4">
        <v>10437</v>
      </c>
      <c r="D362" s="26">
        <v>833815.5</v>
      </c>
      <c r="E362" s="5">
        <f>IFERROR(VLOOKUP(J362,Sheet2!C362:F865,2),0)</f>
        <v>7</v>
      </c>
      <c r="F362" s="5">
        <f>IFERROR(VLOOKUP(J362,Sheet2!C362:F865,3),0)</f>
        <v>577</v>
      </c>
      <c r="G362" s="5">
        <f>IFERROR(VLOOKUP(J362, Sheet2!C362:F865,4),0)</f>
        <v>389</v>
      </c>
      <c r="H362" s="12">
        <f t="shared" si="15"/>
        <v>119116.5</v>
      </c>
      <c r="I362">
        <f t="shared" si="16"/>
        <v>22</v>
      </c>
      <c r="J362" t="str">
        <f t="shared" si="17"/>
        <v>2020-05-26Тюмень</v>
      </c>
    </row>
    <row r="363" spans="1:10" ht="14.25" customHeight="1" x14ac:dyDescent="0.3">
      <c r="A363" s="15">
        <v>43952</v>
      </c>
      <c r="B363" s="6" t="s">
        <v>23</v>
      </c>
      <c r="C363" s="6">
        <v>13644</v>
      </c>
      <c r="D363" s="27">
        <v>1134444</v>
      </c>
      <c r="E363" s="5">
        <f>IFERROR(VLOOKUP(J363,Sheet2!C363:F866,2),0)</f>
        <v>0</v>
      </c>
      <c r="F363" s="5">
        <f>IFERROR(VLOOKUP(J363,Sheet2!C363:F866,3),0)</f>
        <v>0</v>
      </c>
      <c r="G363" s="5">
        <f>IFERROR(VLOOKUP(J363, Sheet2!C363:F866,4),0)</f>
        <v>0</v>
      </c>
      <c r="H363" s="12">
        <f t="shared" si="15"/>
        <v>0</v>
      </c>
      <c r="I363">
        <f t="shared" si="16"/>
        <v>18</v>
      </c>
      <c r="J363" t="str">
        <f t="shared" si="17"/>
        <v>2020-05-01Новосибирск</v>
      </c>
    </row>
    <row r="364" spans="1:10" ht="14.25" customHeight="1" x14ac:dyDescent="0.3">
      <c r="A364" s="14">
        <v>43963</v>
      </c>
      <c r="B364" s="4" t="s">
        <v>23</v>
      </c>
      <c r="C364" s="4">
        <v>13443</v>
      </c>
      <c r="D364" s="26">
        <v>1092277.5</v>
      </c>
      <c r="E364" s="5">
        <f>IFERROR(VLOOKUP(J364,Sheet2!C364:F867,2),0)</f>
        <v>0</v>
      </c>
      <c r="F364" s="5">
        <f>IFERROR(VLOOKUP(J364,Sheet2!C364:F867,3),0)</f>
        <v>0</v>
      </c>
      <c r="G364" s="5">
        <f>IFERROR(VLOOKUP(J364, Sheet2!C364:F867,4),0)</f>
        <v>0</v>
      </c>
      <c r="H364" s="12">
        <f t="shared" si="15"/>
        <v>0</v>
      </c>
      <c r="I364">
        <f t="shared" si="16"/>
        <v>20</v>
      </c>
      <c r="J364" t="str">
        <f t="shared" si="17"/>
        <v>2020-05-12Новосибирск</v>
      </c>
    </row>
    <row r="365" spans="1:10" ht="14.25" customHeight="1" x14ac:dyDescent="0.3">
      <c r="A365" s="15">
        <v>43972</v>
      </c>
      <c r="B365" s="6" t="s">
        <v>23</v>
      </c>
      <c r="C365" s="6">
        <v>14182.5</v>
      </c>
      <c r="D365" s="27">
        <v>1172574</v>
      </c>
      <c r="E365" s="5">
        <f>IFERROR(VLOOKUP(J365,Sheet2!C365:F868,2),0)</f>
        <v>0</v>
      </c>
      <c r="F365" s="5">
        <f>IFERROR(VLOOKUP(J365,Sheet2!C365:F868,3),0)</f>
        <v>0</v>
      </c>
      <c r="G365" s="5">
        <f>IFERROR(VLOOKUP(J365, Sheet2!C365:F868,4),0)</f>
        <v>0</v>
      </c>
      <c r="H365" s="12">
        <f t="shared" si="15"/>
        <v>0</v>
      </c>
      <c r="I365">
        <f t="shared" si="16"/>
        <v>21</v>
      </c>
      <c r="J365" t="str">
        <f t="shared" si="17"/>
        <v>2020-05-21Новосибирск</v>
      </c>
    </row>
    <row r="366" spans="1:10" ht="14.25" customHeight="1" x14ac:dyDescent="0.3">
      <c r="A366" s="14">
        <v>43971</v>
      </c>
      <c r="B366" s="4" t="s">
        <v>23</v>
      </c>
      <c r="C366" s="4">
        <v>14928</v>
      </c>
      <c r="D366" s="26">
        <v>1217749.5</v>
      </c>
      <c r="E366" s="5">
        <f>IFERROR(VLOOKUP(J366,Sheet2!C366:F869,2),0)</f>
        <v>0</v>
      </c>
      <c r="F366" s="5">
        <f>IFERROR(VLOOKUP(J366,Sheet2!C366:F869,3),0)</f>
        <v>0</v>
      </c>
      <c r="G366" s="5">
        <f>IFERROR(VLOOKUP(J366, Sheet2!C366:F869,4),0)</f>
        <v>0</v>
      </c>
      <c r="H366" s="12">
        <f t="shared" si="15"/>
        <v>0</v>
      </c>
      <c r="I366">
        <f t="shared" si="16"/>
        <v>21</v>
      </c>
      <c r="J366" t="str">
        <f t="shared" si="17"/>
        <v>2020-05-20Новосибирск</v>
      </c>
    </row>
    <row r="367" spans="1:10" ht="14.25" customHeight="1" x14ac:dyDescent="0.3">
      <c r="A367" s="15">
        <v>43956</v>
      </c>
      <c r="B367" s="6" t="s">
        <v>23</v>
      </c>
      <c r="C367" s="6">
        <v>13941</v>
      </c>
      <c r="D367" s="27">
        <v>1145575.5</v>
      </c>
      <c r="E367" s="5">
        <f>IFERROR(VLOOKUP(J367,Sheet2!C367:F870,2),0)</f>
        <v>0</v>
      </c>
      <c r="F367" s="5">
        <f>IFERROR(VLOOKUP(J367,Sheet2!C367:F870,3),0)</f>
        <v>0</v>
      </c>
      <c r="G367" s="5">
        <f>IFERROR(VLOOKUP(J367, Sheet2!C367:F870,4),0)</f>
        <v>0</v>
      </c>
      <c r="H367" s="12">
        <f t="shared" si="15"/>
        <v>0</v>
      </c>
      <c r="I367">
        <f t="shared" si="16"/>
        <v>19</v>
      </c>
      <c r="J367" t="str">
        <f t="shared" si="17"/>
        <v>2020-05-05Новосибирск</v>
      </c>
    </row>
    <row r="368" spans="1:10" ht="14.25" customHeight="1" x14ac:dyDescent="0.3">
      <c r="A368" s="14">
        <v>43964</v>
      </c>
      <c r="B368" s="4" t="s">
        <v>23</v>
      </c>
      <c r="C368" s="4">
        <v>14643</v>
      </c>
      <c r="D368" s="26">
        <v>1172691</v>
      </c>
      <c r="E368" s="5">
        <f>IFERROR(VLOOKUP(J368,Sheet2!C368:F871,2),0)</f>
        <v>0</v>
      </c>
      <c r="F368" s="5">
        <f>IFERROR(VLOOKUP(J368,Sheet2!C368:F871,3),0)</f>
        <v>0</v>
      </c>
      <c r="G368" s="5">
        <f>IFERROR(VLOOKUP(J368, Sheet2!C368:F871,4),0)</f>
        <v>0</v>
      </c>
      <c r="H368" s="12">
        <f t="shared" si="15"/>
        <v>0</v>
      </c>
      <c r="I368">
        <f t="shared" si="16"/>
        <v>20</v>
      </c>
      <c r="J368" t="str">
        <f t="shared" si="17"/>
        <v>2020-05-13Новосибирск</v>
      </c>
    </row>
    <row r="369" spans="1:10" ht="14.25" customHeight="1" x14ac:dyDescent="0.3">
      <c r="A369" s="15">
        <v>43954</v>
      </c>
      <c r="B369" s="6" t="s">
        <v>23</v>
      </c>
      <c r="C369" s="6">
        <v>10032</v>
      </c>
      <c r="D369" s="27">
        <v>816150</v>
      </c>
      <c r="E369" s="5">
        <f>IFERROR(VLOOKUP(J369,Sheet2!C369:F872,2),0)</f>
        <v>0</v>
      </c>
      <c r="F369" s="5">
        <f>IFERROR(VLOOKUP(J369,Sheet2!C369:F872,3),0)</f>
        <v>0</v>
      </c>
      <c r="G369" s="5">
        <f>IFERROR(VLOOKUP(J369, Sheet2!C369:F872,4),0)</f>
        <v>0</v>
      </c>
      <c r="H369" s="12">
        <f t="shared" si="15"/>
        <v>0</v>
      </c>
      <c r="I369">
        <f t="shared" si="16"/>
        <v>18</v>
      </c>
      <c r="J369" t="str">
        <f t="shared" si="17"/>
        <v>2020-05-03Новосибирск</v>
      </c>
    </row>
    <row r="370" spans="1:10" ht="14.25" customHeight="1" x14ac:dyDescent="0.3">
      <c r="A370" s="14">
        <v>43957</v>
      </c>
      <c r="B370" s="4" t="s">
        <v>23</v>
      </c>
      <c r="C370" s="4">
        <v>12468</v>
      </c>
      <c r="D370" s="26">
        <v>1016566.5</v>
      </c>
      <c r="E370" s="5">
        <f>IFERROR(VLOOKUP(J370,Sheet2!C370:F873,2),0)</f>
        <v>0</v>
      </c>
      <c r="F370" s="5">
        <f>IFERROR(VLOOKUP(J370,Sheet2!C370:F873,3),0)</f>
        <v>0</v>
      </c>
      <c r="G370" s="5">
        <f>IFERROR(VLOOKUP(J370, Sheet2!C370:F873,4),0)</f>
        <v>0</v>
      </c>
      <c r="H370" s="12">
        <f t="shared" si="15"/>
        <v>0</v>
      </c>
      <c r="I370">
        <f t="shared" si="16"/>
        <v>19</v>
      </c>
      <c r="J370" t="str">
        <f t="shared" si="17"/>
        <v>2020-05-06Новосибирск</v>
      </c>
    </row>
    <row r="371" spans="1:10" ht="14.25" customHeight="1" x14ac:dyDescent="0.3">
      <c r="A371" s="15">
        <v>43974</v>
      </c>
      <c r="B371" s="6" t="s">
        <v>23</v>
      </c>
      <c r="C371" s="6">
        <v>17943</v>
      </c>
      <c r="D371" s="27">
        <v>1457391</v>
      </c>
      <c r="E371" s="5">
        <f>IFERROR(VLOOKUP(J371,Sheet2!C371:F874,2),0)</f>
        <v>0</v>
      </c>
      <c r="F371" s="5">
        <f>IFERROR(VLOOKUP(J371,Sheet2!C371:F874,3),0)</f>
        <v>0</v>
      </c>
      <c r="G371" s="5">
        <f>IFERROR(VLOOKUP(J371, Sheet2!C371:F874,4),0)</f>
        <v>0</v>
      </c>
      <c r="H371" s="12">
        <f t="shared" si="15"/>
        <v>0</v>
      </c>
      <c r="I371">
        <f t="shared" si="16"/>
        <v>21</v>
      </c>
      <c r="J371" t="str">
        <f t="shared" si="17"/>
        <v>2020-05-23Новосибирск</v>
      </c>
    </row>
    <row r="372" spans="1:10" ht="14.25" customHeight="1" x14ac:dyDescent="0.3">
      <c r="A372" s="14">
        <v>43976</v>
      </c>
      <c r="B372" s="4" t="s">
        <v>23</v>
      </c>
      <c r="C372" s="4">
        <v>15807</v>
      </c>
      <c r="D372" s="26">
        <v>1326705</v>
      </c>
      <c r="E372" s="5">
        <f>IFERROR(VLOOKUP(J372,Sheet2!C372:F875,2),0)</f>
        <v>18</v>
      </c>
      <c r="F372" s="5">
        <f>IFERROR(VLOOKUP(J372,Sheet2!C372:F875,3),0)</f>
        <v>989</v>
      </c>
      <c r="G372" s="5">
        <f>IFERROR(VLOOKUP(J372, Sheet2!C372:F875,4),0)</f>
        <v>887</v>
      </c>
      <c r="H372" s="12">
        <f t="shared" si="15"/>
        <v>73705.833333333328</v>
      </c>
      <c r="I372">
        <f t="shared" si="16"/>
        <v>22</v>
      </c>
      <c r="J372" t="str">
        <f t="shared" si="17"/>
        <v>2020-05-25Новосибирск</v>
      </c>
    </row>
    <row r="373" spans="1:10" ht="14.25" customHeight="1" x14ac:dyDescent="0.3">
      <c r="A373" s="15">
        <v>43951</v>
      </c>
      <c r="B373" s="6" t="s">
        <v>23</v>
      </c>
      <c r="C373" s="6">
        <v>11976</v>
      </c>
      <c r="D373" s="27">
        <v>1004511</v>
      </c>
      <c r="E373" s="5">
        <f>IFERROR(VLOOKUP(J373,Sheet2!C373:F876,2),0)</f>
        <v>0</v>
      </c>
      <c r="F373" s="5">
        <f>IFERROR(VLOOKUP(J373,Sheet2!C373:F876,3),0)</f>
        <v>0</v>
      </c>
      <c r="G373" s="5">
        <f>IFERROR(VLOOKUP(J373, Sheet2!C373:F876,4),0)</f>
        <v>0</v>
      </c>
      <c r="H373" s="12">
        <f t="shared" si="15"/>
        <v>0</v>
      </c>
      <c r="I373">
        <f t="shared" si="16"/>
        <v>18</v>
      </c>
      <c r="J373" t="str">
        <f t="shared" si="17"/>
        <v>2020-04-30Новосибирск</v>
      </c>
    </row>
    <row r="374" spans="1:10" ht="14.25" customHeight="1" x14ac:dyDescent="0.3">
      <c r="A374" s="14">
        <v>43961</v>
      </c>
      <c r="B374" s="4" t="s">
        <v>23</v>
      </c>
      <c r="C374" s="4">
        <v>14566.5</v>
      </c>
      <c r="D374" s="26">
        <v>1216557</v>
      </c>
      <c r="E374" s="5">
        <f>IFERROR(VLOOKUP(J374,Sheet2!C374:F877,2),0)</f>
        <v>0</v>
      </c>
      <c r="F374" s="5">
        <f>IFERROR(VLOOKUP(J374,Sheet2!C374:F877,3),0)</f>
        <v>0</v>
      </c>
      <c r="G374" s="5">
        <f>IFERROR(VLOOKUP(J374, Sheet2!C374:F877,4),0)</f>
        <v>0</v>
      </c>
      <c r="H374" s="12">
        <f t="shared" si="15"/>
        <v>0</v>
      </c>
      <c r="I374">
        <f t="shared" si="16"/>
        <v>19</v>
      </c>
      <c r="J374" t="str">
        <f t="shared" si="17"/>
        <v>2020-05-10Новосибирск</v>
      </c>
    </row>
    <row r="375" spans="1:10" ht="14.25" customHeight="1" x14ac:dyDescent="0.3">
      <c r="A375" s="15">
        <v>43959</v>
      </c>
      <c r="B375" s="6" t="s">
        <v>23</v>
      </c>
      <c r="C375" s="6">
        <v>12976.5</v>
      </c>
      <c r="D375" s="27">
        <v>1046848.5</v>
      </c>
      <c r="E375" s="5">
        <f>IFERROR(VLOOKUP(J375,Sheet2!C375:F878,2),0)</f>
        <v>0</v>
      </c>
      <c r="F375" s="5">
        <f>IFERROR(VLOOKUP(J375,Sheet2!C375:F878,3),0)</f>
        <v>0</v>
      </c>
      <c r="G375" s="5">
        <f>IFERROR(VLOOKUP(J375, Sheet2!C375:F878,4),0)</f>
        <v>0</v>
      </c>
      <c r="H375" s="12">
        <f t="shared" si="15"/>
        <v>0</v>
      </c>
      <c r="I375">
        <f t="shared" si="16"/>
        <v>19</v>
      </c>
      <c r="J375" t="str">
        <f t="shared" si="17"/>
        <v>2020-05-08Новосибирск</v>
      </c>
    </row>
    <row r="376" spans="1:10" ht="14.25" customHeight="1" x14ac:dyDescent="0.3">
      <c r="A376" s="14">
        <v>43958</v>
      </c>
      <c r="B376" s="4" t="s">
        <v>23</v>
      </c>
      <c r="C376" s="4">
        <v>11719.5</v>
      </c>
      <c r="D376" s="26">
        <v>965880</v>
      </c>
      <c r="E376" s="5">
        <f>IFERROR(VLOOKUP(J376,Sheet2!C376:F879,2),0)</f>
        <v>0</v>
      </c>
      <c r="F376" s="5">
        <f>IFERROR(VLOOKUP(J376,Sheet2!C376:F879,3),0)</f>
        <v>0</v>
      </c>
      <c r="G376" s="5">
        <f>IFERROR(VLOOKUP(J376, Sheet2!C376:F879,4),0)</f>
        <v>0</v>
      </c>
      <c r="H376" s="12">
        <f t="shared" si="15"/>
        <v>0</v>
      </c>
      <c r="I376">
        <f t="shared" si="16"/>
        <v>19</v>
      </c>
      <c r="J376" t="str">
        <f t="shared" si="17"/>
        <v>2020-05-07Новосибирск</v>
      </c>
    </row>
    <row r="377" spans="1:10" ht="14.25" customHeight="1" x14ac:dyDescent="0.3">
      <c r="A377" s="15">
        <v>43975</v>
      </c>
      <c r="B377" s="6" t="s">
        <v>23</v>
      </c>
      <c r="C377" s="6">
        <v>17197.5</v>
      </c>
      <c r="D377" s="27">
        <v>1386262.5</v>
      </c>
      <c r="E377" s="5">
        <f>IFERROR(VLOOKUP(J377,Sheet2!C377:F880,2),0)</f>
        <v>0</v>
      </c>
      <c r="F377" s="5">
        <f>IFERROR(VLOOKUP(J377,Sheet2!C377:F880,3),0)</f>
        <v>0</v>
      </c>
      <c r="G377" s="5">
        <f>IFERROR(VLOOKUP(J377, Sheet2!C377:F880,4),0)</f>
        <v>0</v>
      </c>
      <c r="H377" s="12">
        <f t="shared" si="15"/>
        <v>0</v>
      </c>
      <c r="I377">
        <f t="shared" si="16"/>
        <v>21</v>
      </c>
      <c r="J377" t="str">
        <f t="shared" si="17"/>
        <v>2020-05-24Новосибирск</v>
      </c>
    </row>
    <row r="378" spans="1:10" ht="14.25" customHeight="1" x14ac:dyDescent="0.3">
      <c r="A378" s="14">
        <v>43977</v>
      </c>
      <c r="B378" s="4" t="s">
        <v>23</v>
      </c>
      <c r="C378" s="4">
        <v>14419.5</v>
      </c>
      <c r="D378" s="26">
        <v>1210456.5</v>
      </c>
      <c r="E378" s="5">
        <f>IFERROR(VLOOKUP(J378,Sheet2!C378:F881,2),0)</f>
        <v>18</v>
      </c>
      <c r="F378" s="5">
        <f>IFERROR(VLOOKUP(J378,Sheet2!C378:F881,3),0)</f>
        <v>914</v>
      </c>
      <c r="G378" s="5">
        <f>IFERROR(VLOOKUP(J378, Sheet2!C378:F881,4),0)</f>
        <v>804</v>
      </c>
      <c r="H378" s="12">
        <f t="shared" si="15"/>
        <v>67247.583333333328</v>
      </c>
      <c r="I378">
        <f t="shared" si="16"/>
        <v>22</v>
      </c>
      <c r="J378" t="str">
        <f t="shared" si="17"/>
        <v>2020-05-26Новосибирск</v>
      </c>
    </row>
    <row r="379" spans="1:10" ht="14.25" customHeight="1" x14ac:dyDescent="0.3">
      <c r="A379" s="15">
        <v>43983</v>
      </c>
      <c r="B379" s="6" t="s">
        <v>9</v>
      </c>
      <c r="C379" s="6">
        <v>7816.5</v>
      </c>
      <c r="D379" s="27">
        <v>636345</v>
      </c>
      <c r="E379" s="5">
        <f>IFERROR(VLOOKUP(J379,Sheet2!C379:F882,2),0)</f>
        <v>15</v>
      </c>
      <c r="F379" s="5">
        <f>IFERROR(VLOOKUP(J379,Sheet2!C379:F882,3),0)</f>
        <v>453</v>
      </c>
      <c r="G379" s="5">
        <f>IFERROR(VLOOKUP(J379, Sheet2!C379:F882,4),0)</f>
        <v>370</v>
      </c>
      <c r="H379" s="12">
        <f t="shared" si="15"/>
        <v>42423</v>
      </c>
      <c r="I379">
        <f t="shared" si="16"/>
        <v>23</v>
      </c>
      <c r="J379" t="str">
        <f t="shared" si="17"/>
        <v>2020-06-01Самара</v>
      </c>
    </row>
    <row r="380" spans="1:10" ht="14.25" customHeight="1" x14ac:dyDescent="0.3">
      <c r="A380" s="14">
        <v>43982</v>
      </c>
      <c r="B380" s="4" t="s">
        <v>25</v>
      </c>
      <c r="C380" s="4">
        <v>6409.5</v>
      </c>
      <c r="D380" s="26">
        <v>493893</v>
      </c>
      <c r="E380" s="5">
        <f>IFERROR(VLOOKUP(J380,Sheet2!C380:F883,2),0)</f>
        <v>9</v>
      </c>
      <c r="F380" s="5">
        <f>IFERROR(VLOOKUP(J380,Sheet2!C380:F883,3),0)</f>
        <v>345</v>
      </c>
      <c r="G380" s="5">
        <f>IFERROR(VLOOKUP(J380, Sheet2!C380:F883,4),0)</f>
        <v>255</v>
      </c>
      <c r="H380" s="12">
        <f t="shared" si="15"/>
        <v>54877</v>
      </c>
      <c r="I380">
        <f t="shared" si="16"/>
        <v>22</v>
      </c>
      <c r="J380" t="str">
        <f t="shared" si="17"/>
        <v>2020-05-31Томск</v>
      </c>
    </row>
    <row r="381" spans="1:10" ht="14.25" customHeight="1" x14ac:dyDescent="0.3">
      <c r="A381" s="15">
        <v>43981</v>
      </c>
      <c r="B381" s="6" t="s">
        <v>24</v>
      </c>
      <c r="C381" s="6">
        <v>11220</v>
      </c>
      <c r="D381" s="27">
        <v>928675.5</v>
      </c>
      <c r="E381" s="5">
        <f>IFERROR(VLOOKUP(J381,Sheet2!C381:F884,2),0)</f>
        <v>7</v>
      </c>
      <c r="F381" s="5">
        <f>IFERROR(VLOOKUP(J381,Sheet2!C381:F884,3),0)</f>
        <v>532</v>
      </c>
      <c r="G381" s="5">
        <f>IFERROR(VLOOKUP(J381, Sheet2!C381:F884,4),0)</f>
        <v>449</v>
      </c>
      <c r="H381" s="12">
        <f t="shared" si="15"/>
        <v>132667.92857142858</v>
      </c>
      <c r="I381">
        <f t="shared" si="16"/>
        <v>22</v>
      </c>
      <c r="J381" t="str">
        <f t="shared" si="17"/>
        <v>2020-05-30Тюмень</v>
      </c>
    </row>
    <row r="382" spans="1:10" ht="14.25" customHeight="1" x14ac:dyDescent="0.3">
      <c r="A382" s="14">
        <v>43980</v>
      </c>
      <c r="B382" s="4" t="s">
        <v>9</v>
      </c>
      <c r="C382" s="4">
        <v>8350.5</v>
      </c>
      <c r="D382" s="26">
        <v>651237</v>
      </c>
      <c r="E382" s="5">
        <f>IFERROR(VLOOKUP(J382,Sheet2!C382:F885,2),0)</f>
        <v>15</v>
      </c>
      <c r="F382" s="5">
        <f>IFERROR(VLOOKUP(J382,Sheet2!C382:F885,3),0)</f>
        <v>400</v>
      </c>
      <c r="G382" s="5">
        <f>IFERROR(VLOOKUP(J382, Sheet2!C382:F885,4),0)</f>
        <v>329</v>
      </c>
      <c r="H382" s="12">
        <f t="shared" si="15"/>
        <v>43415.8</v>
      </c>
      <c r="I382">
        <f t="shared" si="16"/>
        <v>22</v>
      </c>
      <c r="J382" t="str">
        <f t="shared" si="17"/>
        <v>2020-05-29Самара</v>
      </c>
    </row>
    <row r="383" spans="1:10" ht="14.25" customHeight="1" x14ac:dyDescent="0.3">
      <c r="A383" s="15">
        <v>43979</v>
      </c>
      <c r="B383" s="6" t="s">
        <v>24</v>
      </c>
      <c r="C383" s="6">
        <v>8428.5</v>
      </c>
      <c r="D383" s="27">
        <v>694669.5</v>
      </c>
      <c r="E383" s="5">
        <f>IFERROR(VLOOKUP(J383,Sheet2!C383:F886,2),0)</f>
        <v>7</v>
      </c>
      <c r="F383" s="5">
        <f>IFERROR(VLOOKUP(J383,Sheet2!C383:F886,3),0)</f>
        <v>420</v>
      </c>
      <c r="G383" s="5">
        <f>IFERROR(VLOOKUP(J383, Sheet2!C383:F886,4),0)</f>
        <v>347</v>
      </c>
      <c r="H383" s="12">
        <f t="shared" si="15"/>
        <v>99238.5</v>
      </c>
      <c r="I383">
        <f t="shared" si="16"/>
        <v>22</v>
      </c>
      <c r="J383" t="str">
        <f t="shared" si="17"/>
        <v>2020-05-28Тюмень</v>
      </c>
    </row>
    <row r="384" spans="1:10" ht="14.25" customHeight="1" x14ac:dyDescent="0.3">
      <c r="A384" s="14">
        <v>43978</v>
      </c>
      <c r="B384" s="4" t="s">
        <v>10</v>
      </c>
      <c r="C384" s="4">
        <v>32817</v>
      </c>
      <c r="D384" s="26">
        <v>3015751.5</v>
      </c>
      <c r="E384" s="5">
        <f>IFERROR(VLOOKUP(J384,Sheet2!C384:F887,2),0)</f>
        <v>20</v>
      </c>
      <c r="F384" s="5">
        <f>IFERROR(VLOOKUP(J384,Sheet2!C384:F887,3),0)</f>
        <v>2079</v>
      </c>
      <c r="G384" s="5">
        <f>IFERROR(VLOOKUP(J384, Sheet2!C384:F887,4),0)</f>
        <v>1893</v>
      </c>
      <c r="H384" s="12">
        <f t="shared" si="15"/>
        <v>150787.57500000001</v>
      </c>
      <c r="I384">
        <f t="shared" si="16"/>
        <v>22</v>
      </c>
      <c r="J384" t="str">
        <f t="shared" si="17"/>
        <v>2020-05-27Кемерово</v>
      </c>
    </row>
    <row r="385" spans="1:10" ht="14.25" customHeight="1" x14ac:dyDescent="0.3">
      <c r="A385" s="15">
        <v>43973</v>
      </c>
      <c r="B385" s="6" t="s">
        <v>10</v>
      </c>
      <c r="C385" s="6">
        <v>36031.5</v>
      </c>
      <c r="D385" s="27">
        <v>3091069.5</v>
      </c>
      <c r="E385" s="5">
        <f>IFERROR(VLOOKUP(J385,Sheet2!C385:F888,2),0)</f>
        <v>0</v>
      </c>
      <c r="F385" s="5">
        <f>IFERROR(VLOOKUP(J385,Sheet2!C385:F888,3),0)</f>
        <v>0</v>
      </c>
      <c r="G385" s="5">
        <f>IFERROR(VLOOKUP(J385, Sheet2!C385:F888,4),0)</f>
        <v>0</v>
      </c>
      <c r="H385" s="12">
        <f t="shared" si="15"/>
        <v>0</v>
      </c>
      <c r="I385">
        <f t="shared" si="16"/>
        <v>21</v>
      </c>
      <c r="J385" t="str">
        <f t="shared" si="17"/>
        <v>2020-05-22Кемерово</v>
      </c>
    </row>
    <row r="386" spans="1:10" ht="14.25" customHeight="1" x14ac:dyDescent="0.3">
      <c r="A386" s="14">
        <v>43982</v>
      </c>
      <c r="B386" s="4" t="s">
        <v>26</v>
      </c>
      <c r="C386" s="4">
        <v>5127</v>
      </c>
      <c r="D386" s="26">
        <v>468835.5</v>
      </c>
      <c r="E386" s="5">
        <f>IFERROR(VLOOKUP(J386,Sheet2!C386:F889,2),0)</f>
        <v>6</v>
      </c>
      <c r="F386" s="5">
        <f>IFERROR(VLOOKUP(J386,Sheet2!C386:F889,3),0)</f>
        <v>261</v>
      </c>
      <c r="G386" s="5">
        <f>IFERROR(VLOOKUP(J386, Sheet2!C386:F889,4),0)</f>
        <v>188</v>
      </c>
      <c r="H386" s="12">
        <f t="shared" si="15"/>
        <v>78139.25</v>
      </c>
      <c r="I386">
        <f t="shared" si="16"/>
        <v>22</v>
      </c>
      <c r="J386" t="str">
        <f t="shared" si="17"/>
        <v>2020-05-31Уфа</v>
      </c>
    </row>
    <row r="387" spans="1:10" ht="14.25" customHeight="1" x14ac:dyDescent="0.3">
      <c r="A387" s="15">
        <v>43962</v>
      </c>
      <c r="B387" s="6" t="s">
        <v>10</v>
      </c>
      <c r="C387" s="6">
        <v>27187.5</v>
      </c>
      <c r="D387" s="27">
        <v>2479396.5</v>
      </c>
      <c r="E387" s="5">
        <f>IFERROR(VLOOKUP(J387,Sheet2!C387:F890,2),0)</f>
        <v>0</v>
      </c>
      <c r="F387" s="5">
        <f>IFERROR(VLOOKUP(J387,Sheet2!C387:F890,3),0)</f>
        <v>0</v>
      </c>
      <c r="G387" s="5">
        <f>IFERROR(VLOOKUP(J387, Sheet2!C387:F890,4),0)</f>
        <v>0</v>
      </c>
      <c r="H387" s="12">
        <f t="shared" ref="H387:H450" si="18">IF(VALUE(E387)&gt;0, D387/VALUE(E387), 0)</f>
        <v>0</v>
      </c>
      <c r="I387">
        <f t="shared" ref="I387:I450" si="19">_xlfn.ISOWEEKNUM(A387)</f>
        <v>20</v>
      </c>
      <c r="J387" t="str">
        <f t="shared" ref="J387:J450" si="20">TEXT(A387,"yyyy-mm-dd") &amp; TRIM(B387)</f>
        <v>2020-05-11Кемерово</v>
      </c>
    </row>
    <row r="388" spans="1:10" ht="14.25" customHeight="1" x14ac:dyDescent="0.3">
      <c r="A388" s="14">
        <v>43981</v>
      </c>
      <c r="B388" s="4" t="s">
        <v>23</v>
      </c>
      <c r="C388" s="4">
        <v>20688</v>
      </c>
      <c r="D388" s="26">
        <v>1773154.5</v>
      </c>
      <c r="E388" s="5">
        <f>IFERROR(VLOOKUP(J388,Sheet2!C388:F891,2),0)</f>
        <v>18</v>
      </c>
      <c r="F388" s="5">
        <f>IFERROR(VLOOKUP(J388,Sheet2!C388:F891,3),0)</f>
        <v>1216</v>
      </c>
      <c r="G388" s="5">
        <f>IFERROR(VLOOKUP(J388, Sheet2!C388:F891,4),0)</f>
        <v>1101</v>
      </c>
      <c r="H388" s="12">
        <f t="shared" si="18"/>
        <v>98508.583333333328</v>
      </c>
      <c r="I388">
        <f t="shared" si="19"/>
        <v>22</v>
      </c>
      <c r="J388" t="str">
        <f t="shared" si="20"/>
        <v>2020-05-30Новосибирск</v>
      </c>
    </row>
    <row r="389" spans="1:10" ht="14.25" customHeight="1" x14ac:dyDescent="0.3">
      <c r="A389" s="15">
        <v>43979</v>
      </c>
      <c r="B389" s="6" t="s">
        <v>23</v>
      </c>
      <c r="C389" s="6">
        <v>15678</v>
      </c>
      <c r="D389" s="27">
        <v>1387443</v>
      </c>
      <c r="E389" s="5">
        <f>IFERROR(VLOOKUP(J389,Sheet2!C389:F892,2),0)</f>
        <v>18</v>
      </c>
      <c r="F389" s="5">
        <f>IFERROR(VLOOKUP(J389,Sheet2!C389:F892,3),0)</f>
        <v>1020</v>
      </c>
      <c r="G389" s="5">
        <f>IFERROR(VLOOKUP(J389, Sheet2!C389:F892,4),0)</f>
        <v>911</v>
      </c>
      <c r="H389" s="12">
        <f t="shared" si="18"/>
        <v>77080.166666666672</v>
      </c>
      <c r="I389">
        <f t="shared" si="19"/>
        <v>22</v>
      </c>
      <c r="J389" t="str">
        <f t="shared" si="20"/>
        <v>2020-05-28Новосибирск</v>
      </c>
    </row>
    <row r="390" spans="1:10" ht="14.25" customHeight="1" x14ac:dyDescent="0.3">
      <c r="A390" s="14">
        <v>43969</v>
      </c>
      <c r="B390" s="4" t="s">
        <v>10</v>
      </c>
      <c r="C390" s="4">
        <v>31329</v>
      </c>
      <c r="D390" s="26">
        <v>2826379.5</v>
      </c>
      <c r="E390" s="5">
        <f>IFERROR(VLOOKUP(J390,Sheet2!C390:F893,2),0)</f>
        <v>0</v>
      </c>
      <c r="F390" s="5">
        <f>IFERROR(VLOOKUP(J390,Sheet2!C390:F893,3),0)</f>
        <v>0</v>
      </c>
      <c r="G390" s="5">
        <f>IFERROR(VLOOKUP(J390, Sheet2!C390:F893,4),0)</f>
        <v>0</v>
      </c>
      <c r="H390" s="12">
        <f t="shared" si="18"/>
        <v>0</v>
      </c>
      <c r="I390">
        <f t="shared" si="19"/>
        <v>21</v>
      </c>
      <c r="J390" t="str">
        <f t="shared" si="20"/>
        <v>2020-05-18Кемерово</v>
      </c>
    </row>
    <row r="391" spans="1:10" ht="14.25" customHeight="1" x14ac:dyDescent="0.3">
      <c r="A391" s="15">
        <v>43965</v>
      </c>
      <c r="B391" s="6" t="s">
        <v>10</v>
      </c>
      <c r="C391" s="6">
        <v>29658</v>
      </c>
      <c r="D391" s="27">
        <v>2703132</v>
      </c>
      <c r="E391" s="5">
        <f>IFERROR(VLOOKUP(J391,Sheet2!C391:F894,2),0)</f>
        <v>0</v>
      </c>
      <c r="F391" s="5">
        <f>IFERROR(VLOOKUP(J391,Sheet2!C391:F894,3),0)</f>
        <v>0</v>
      </c>
      <c r="G391" s="5">
        <f>IFERROR(VLOOKUP(J391, Sheet2!C391:F894,4),0)</f>
        <v>0</v>
      </c>
      <c r="H391" s="12">
        <f t="shared" si="18"/>
        <v>0</v>
      </c>
      <c r="I391">
        <f t="shared" si="19"/>
        <v>20</v>
      </c>
      <c r="J391" t="str">
        <f t="shared" si="20"/>
        <v>2020-05-14Кемерово</v>
      </c>
    </row>
    <row r="392" spans="1:10" ht="14.25" customHeight="1" x14ac:dyDescent="0.3">
      <c r="A392" s="14">
        <v>43966</v>
      </c>
      <c r="B392" s="4" t="s">
        <v>10</v>
      </c>
      <c r="C392" s="4">
        <v>34150.5</v>
      </c>
      <c r="D392" s="26">
        <v>3038293.5</v>
      </c>
      <c r="E392" s="5">
        <f>IFERROR(VLOOKUP(J392,Sheet2!C392:F895,2),0)</f>
        <v>0</v>
      </c>
      <c r="F392" s="5">
        <f>IFERROR(VLOOKUP(J392,Sheet2!C392:F895,3),0)</f>
        <v>0</v>
      </c>
      <c r="G392" s="5">
        <f>IFERROR(VLOOKUP(J392, Sheet2!C392:F895,4),0)</f>
        <v>0</v>
      </c>
      <c r="H392" s="12">
        <f t="shared" si="18"/>
        <v>0</v>
      </c>
      <c r="I392">
        <f t="shared" si="19"/>
        <v>20</v>
      </c>
      <c r="J392" t="str">
        <f t="shared" si="20"/>
        <v>2020-05-15Кемерово</v>
      </c>
    </row>
    <row r="393" spans="1:10" ht="14.25" customHeight="1" x14ac:dyDescent="0.3">
      <c r="A393" s="15">
        <v>43983</v>
      </c>
      <c r="B393" s="6" t="s">
        <v>10</v>
      </c>
      <c r="C393" s="6">
        <v>31947</v>
      </c>
      <c r="D393" s="27">
        <v>2945035.5</v>
      </c>
      <c r="E393" s="5">
        <f>IFERROR(VLOOKUP(J393,Sheet2!C393:F896,2),0)</f>
        <v>21</v>
      </c>
      <c r="F393" s="5">
        <f>IFERROR(VLOOKUP(J393,Sheet2!C393:F896,3),0)</f>
        <v>2025</v>
      </c>
      <c r="G393" s="5">
        <f>IFERROR(VLOOKUP(J393, Sheet2!C393:F896,4),0)</f>
        <v>1849</v>
      </c>
      <c r="H393" s="12">
        <f t="shared" si="18"/>
        <v>140239.78571428571</v>
      </c>
      <c r="I393">
        <f t="shared" si="19"/>
        <v>23</v>
      </c>
      <c r="J393" t="str">
        <f t="shared" si="20"/>
        <v>2020-06-01Кемерово</v>
      </c>
    </row>
    <row r="394" spans="1:10" ht="14.25" customHeight="1" x14ac:dyDescent="0.3">
      <c r="A394" s="14">
        <v>43982</v>
      </c>
      <c r="B394" s="4" t="s">
        <v>24</v>
      </c>
      <c r="C394" s="4">
        <v>10416</v>
      </c>
      <c r="D394" s="26">
        <v>866023.5</v>
      </c>
      <c r="E394" s="5">
        <f>IFERROR(VLOOKUP(J394,Sheet2!C394:F897,2),0)</f>
        <v>7</v>
      </c>
      <c r="F394" s="5">
        <f>IFERROR(VLOOKUP(J394,Sheet2!C394:F897,3),0)</f>
        <v>530</v>
      </c>
      <c r="G394" s="5">
        <f>IFERROR(VLOOKUP(J394, Sheet2!C394:F897,4),0)</f>
        <v>447</v>
      </c>
      <c r="H394" s="12">
        <f t="shared" si="18"/>
        <v>123717.64285714286</v>
      </c>
      <c r="I394">
        <f t="shared" si="19"/>
        <v>22</v>
      </c>
      <c r="J394" t="str">
        <f t="shared" si="20"/>
        <v>2020-05-31Тюмень</v>
      </c>
    </row>
    <row r="395" spans="1:10" ht="14.25" customHeight="1" x14ac:dyDescent="0.3">
      <c r="A395" s="15">
        <v>43980</v>
      </c>
      <c r="B395" s="6" t="s">
        <v>10</v>
      </c>
      <c r="C395" s="6">
        <v>35431.5</v>
      </c>
      <c r="D395" s="27">
        <v>3193167</v>
      </c>
      <c r="E395" s="5">
        <f>IFERROR(VLOOKUP(J395,Sheet2!C395:F898,2),0)</f>
        <v>20</v>
      </c>
      <c r="F395" s="5">
        <f>IFERROR(VLOOKUP(J395,Sheet2!C395:F898,3),0)</f>
        <v>2111</v>
      </c>
      <c r="G395" s="5">
        <f>IFERROR(VLOOKUP(J395, Sheet2!C395:F898,4),0)</f>
        <v>1917</v>
      </c>
      <c r="H395" s="12">
        <f t="shared" si="18"/>
        <v>159658.35</v>
      </c>
      <c r="I395">
        <f t="shared" si="19"/>
        <v>22</v>
      </c>
      <c r="J395" t="str">
        <f t="shared" si="20"/>
        <v>2020-05-29Кемерово</v>
      </c>
    </row>
    <row r="396" spans="1:10" ht="14.25" customHeight="1" x14ac:dyDescent="0.3">
      <c r="A396" s="14">
        <v>43978</v>
      </c>
      <c r="B396" s="4" t="s">
        <v>11</v>
      </c>
      <c r="C396" s="4">
        <v>78544.5</v>
      </c>
      <c r="D396" s="26">
        <v>6701083.5</v>
      </c>
      <c r="E396" s="5">
        <f>IFERROR(VLOOKUP(J396,Sheet2!C396:F899,2),0)</f>
        <v>31</v>
      </c>
      <c r="F396" s="5">
        <f>IFERROR(VLOOKUP(J396,Sheet2!C396:F899,3),0)</f>
        <v>5330</v>
      </c>
      <c r="G396" s="5">
        <f>IFERROR(VLOOKUP(J396, Sheet2!C396:F899,4),0)</f>
        <v>4977</v>
      </c>
      <c r="H396" s="12">
        <f t="shared" si="18"/>
        <v>216163.98387096773</v>
      </c>
      <c r="I396">
        <f t="shared" si="19"/>
        <v>22</v>
      </c>
      <c r="J396" t="str">
        <f t="shared" si="20"/>
        <v>2020-05-27Екатеринбург</v>
      </c>
    </row>
    <row r="397" spans="1:10" ht="14.25" customHeight="1" x14ac:dyDescent="0.3">
      <c r="A397" s="15">
        <v>43973</v>
      </c>
      <c r="B397" s="6" t="s">
        <v>11</v>
      </c>
      <c r="C397" s="6">
        <v>97963.5</v>
      </c>
      <c r="D397" s="27">
        <v>7728465</v>
      </c>
      <c r="E397" s="5">
        <f>IFERROR(VLOOKUP(J397,Sheet2!C397:F900,2),0)</f>
        <v>0</v>
      </c>
      <c r="F397" s="5">
        <f>IFERROR(VLOOKUP(J397,Sheet2!C397:F900,3),0)</f>
        <v>0</v>
      </c>
      <c r="G397" s="5">
        <f>IFERROR(VLOOKUP(J397, Sheet2!C397:F900,4),0)</f>
        <v>0</v>
      </c>
      <c r="H397" s="12">
        <f t="shared" si="18"/>
        <v>0</v>
      </c>
      <c r="I397">
        <f t="shared" si="19"/>
        <v>21</v>
      </c>
      <c r="J397" t="str">
        <f t="shared" si="20"/>
        <v>2020-05-22Екатеринбург</v>
      </c>
    </row>
    <row r="398" spans="1:10" ht="14.25" customHeight="1" x14ac:dyDescent="0.3">
      <c r="A398" s="14">
        <v>43983</v>
      </c>
      <c r="B398" s="4" t="s">
        <v>11</v>
      </c>
      <c r="C398" s="4">
        <v>77269.5</v>
      </c>
      <c r="D398" s="26">
        <v>6829921.5</v>
      </c>
      <c r="E398" s="5">
        <f>IFERROR(VLOOKUP(J398,Sheet2!C398:F901,2),0)</f>
        <v>31</v>
      </c>
      <c r="F398" s="5">
        <f>IFERROR(VLOOKUP(J398,Sheet2!C398:F901,3),0)</f>
        <v>5468</v>
      </c>
      <c r="G398" s="5">
        <f>IFERROR(VLOOKUP(J398, Sheet2!C398:F901,4),0)</f>
        <v>5081</v>
      </c>
      <c r="H398" s="12">
        <f t="shared" si="18"/>
        <v>220320.04838709679</v>
      </c>
      <c r="I398">
        <f t="shared" si="19"/>
        <v>23</v>
      </c>
      <c r="J398" t="str">
        <f t="shared" si="20"/>
        <v>2020-06-01Екатеринбург</v>
      </c>
    </row>
    <row r="399" spans="1:10" ht="14.25" customHeight="1" x14ac:dyDescent="0.3">
      <c r="A399" s="15">
        <v>43982</v>
      </c>
      <c r="B399" s="6" t="s">
        <v>23</v>
      </c>
      <c r="C399" s="6">
        <v>16143</v>
      </c>
      <c r="D399" s="27">
        <v>1423410</v>
      </c>
      <c r="E399" s="5">
        <f>IFERROR(VLOOKUP(J399,Sheet2!C399:F902,2),0)</f>
        <v>18</v>
      </c>
      <c r="F399" s="5">
        <f>IFERROR(VLOOKUP(J399,Sheet2!C399:F902,3),0)</f>
        <v>1029</v>
      </c>
      <c r="G399" s="5">
        <f>IFERROR(VLOOKUP(J399, Sheet2!C399:F902,4),0)</f>
        <v>925</v>
      </c>
      <c r="H399" s="12">
        <f t="shared" si="18"/>
        <v>79078.333333333328</v>
      </c>
      <c r="I399">
        <f t="shared" si="19"/>
        <v>22</v>
      </c>
      <c r="J399" t="str">
        <f t="shared" si="20"/>
        <v>2020-05-31Новосибирск</v>
      </c>
    </row>
    <row r="400" spans="1:10" ht="14.25" customHeight="1" x14ac:dyDescent="0.3">
      <c r="A400" s="14">
        <v>43962</v>
      </c>
      <c r="B400" s="4" t="s">
        <v>11</v>
      </c>
      <c r="C400" s="4">
        <v>72220.5</v>
      </c>
      <c r="D400" s="26">
        <v>6398719.5</v>
      </c>
      <c r="E400" s="5">
        <f>IFERROR(VLOOKUP(J400,Sheet2!C400:F903,2),0)</f>
        <v>0</v>
      </c>
      <c r="F400" s="5">
        <f>IFERROR(VLOOKUP(J400,Sheet2!C400:F903,3),0)</f>
        <v>0</v>
      </c>
      <c r="G400" s="5">
        <f>IFERROR(VLOOKUP(J400, Sheet2!C400:F903,4),0)</f>
        <v>0</v>
      </c>
      <c r="H400" s="12">
        <f t="shared" si="18"/>
        <v>0</v>
      </c>
      <c r="I400">
        <f t="shared" si="19"/>
        <v>20</v>
      </c>
      <c r="J400" t="str">
        <f t="shared" si="20"/>
        <v>2020-05-11Екатеринбург</v>
      </c>
    </row>
    <row r="401" spans="1:10" ht="14.25" customHeight="1" x14ac:dyDescent="0.3">
      <c r="A401" s="15">
        <v>43969</v>
      </c>
      <c r="B401" s="6" t="s">
        <v>11</v>
      </c>
      <c r="C401" s="6">
        <v>78058.5</v>
      </c>
      <c r="D401" s="27">
        <v>6609714</v>
      </c>
      <c r="E401" s="5">
        <f>IFERROR(VLOOKUP(J401,Sheet2!C401:F904,2),0)</f>
        <v>0</v>
      </c>
      <c r="F401" s="5">
        <f>IFERROR(VLOOKUP(J401,Sheet2!C401:F904,3),0)</f>
        <v>0</v>
      </c>
      <c r="G401" s="5">
        <f>IFERROR(VLOOKUP(J401, Sheet2!C401:F904,4),0)</f>
        <v>0</v>
      </c>
      <c r="H401" s="12">
        <f t="shared" si="18"/>
        <v>0</v>
      </c>
      <c r="I401">
        <f t="shared" si="19"/>
        <v>21</v>
      </c>
      <c r="J401" t="str">
        <f t="shared" si="20"/>
        <v>2020-05-18Екатеринбург</v>
      </c>
    </row>
    <row r="402" spans="1:10" ht="14.25" customHeight="1" x14ac:dyDescent="0.3">
      <c r="A402" s="14">
        <v>43965</v>
      </c>
      <c r="B402" s="4" t="s">
        <v>11</v>
      </c>
      <c r="C402" s="4">
        <v>70498.5</v>
      </c>
      <c r="D402" s="26">
        <v>6053649</v>
      </c>
      <c r="E402" s="5">
        <f>IFERROR(VLOOKUP(J402,Sheet2!C402:F905,2),0)</f>
        <v>0</v>
      </c>
      <c r="F402" s="5">
        <f>IFERROR(VLOOKUP(J402,Sheet2!C402:F905,3),0)</f>
        <v>0</v>
      </c>
      <c r="G402" s="5">
        <f>IFERROR(VLOOKUP(J402, Sheet2!C402:F905,4),0)</f>
        <v>0</v>
      </c>
      <c r="H402" s="12">
        <f t="shared" si="18"/>
        <v>0</v>
      </c>
      <c r="I402">
        <f t="shared" si="19"/>
        <v>20</v>
      </c>
      <c r="J402" t="str">
        <f t="shared" si="20"/>
        <v>2020-05-14Екатеринбург</v>
      </c>
    </row>
    <row r="403" spans="1:10" ht="14.25" customHeight="1" x14ac:dyDescent="0.3">
      <c r="A403" s="15">
        <v>43966</v>
      </c>
      <c r="B403" s="6" t="s">
        <v>11</v>
      </c>
      <c r="C403" s="6">
        <v>78961.5</v>
      </c>
      <c r="D403" s="27">
        <v>6876454.5</v>
      </c>
      <c r="E403" s="5">
        <f>IFERROR(VLOOKUP(J403,Sheet2!C403:F906,2),0)</f>
        <v>0</v>
      </c>
      <c r="F403" s="5">
        <f>IFERROR(VLOOKUP(J403,Sheet2!C403:F906,3),0)</f>
        <v>0</v>
      </c>
      <c r="G403" s="5">
        <f>IFERROR(VLOOKUP(J403, Sheet2!C403:F906,4),0)</f>
        <v>0</v>
      </c>
      <c r="H403" s="12">
        <f t="shared" si="18"/>
        <v>0</v>
      </c>
      <c r="I403">
        <f t="shared" si="19"/>
        <v>20</v>
      </c>
      <c r="J403" t="str">
        <f t="shared" si="20"/>
        <v>2020-05-15Екатеринбург</v>
      </c>
    </row>
    <row r="404" spans="1:10" ht="14.25" customHeight="1" x14ac:dyDescent="0.3">
      <c r="A404" s="14">
        <v>43978</v>
      </c>
      <c r="B404" s="4" t="s">
        <v>12</v>
      </c>
      <c r="C404" s="4">
        <v>12490.5</v>
      </c>
      <c r="D404" s="26">
        <v>1054798.5</v>
      </c>
      <c r="E404" s="5">
        <f>IFERROR(VLOOKUP(J404,Sheet2!C404:F907,2),0)</f>
        <v>10</v>
      </c>
      <c r="F404" s="5">
        <f>IFERROR(VLOOKUP(J404,Sheet2!C404:F907,3),0)</f>
        <v>757</v>
      </c>
      <c r="G404" s="5">
        <f>IFERROR(VLOOKUP(J404, Sheet2!C404:F907,4),0)</f>
        <v>660</v>
      </c>
      <c r="H404" s="12">
        <f t="shared" si="18"/>
        <v>105479.85</v>
      </c>
      <c r="I404">
        <f t="shared" si="19"/>
        <v>22</v>
      </c>
      <c r="J404" t="str">
        <f t="shared" si="20"/>
        <v>2020-05-27Тольятти</v>
      </c>
    </row>
    <row r="405" spans="1:10" ht="14.25" customHeight="1" x14ac:dyDescent="0.3">
      <c r="A405" s="15">
        <v>43973</v>
      </c>
      <c r="B405" s="6" t="s">
        <v>12</v>
      </c>
      <c r="C405" s="6">
        <v>18036</v>
      </c>
      <c r="D405" s="27">
        <v>1455049.5</v>
      </c>
      <c r="E405" s="5">
        <f>IFERROR(VLOOKUP(J405,Sheet2!C405:F908,2),0)</f>
        <v>0</v>
      </c>
      <c r="F405" s="5">
        <f>IFERROR(VLOOKUP(J405,Sheet2!C405:F908,3),0)</f>
        <v>0</v>
      </c>
      <c r="G405" s="5">
        <f>IFERROR(VLOOKUP(J405, Sheet2!C405:F908,4),0)</f>
        <v>0</v>
      </c>
      <c r="H405" s="12">
        <f t="shared" si="18"/>
        <v>0</v>
      </c>
      <c r="I405">
        <f t="shared" si="19"/>
        <v>21</v>
      </c>
      <c r="J405" t="str">
        <f t="shared" si="20"/>
        <v>2020-05-22Тольятти</v>
      </c>
    </row>
    <row r="406" spans="1:10" ht="14.25" customHeight="1" x14ac:dyDescent="0.3">
      <c r="A406" s="14">
        <v>43983</v>
      </c>
      <c r="B406" s="4" t="s">
        <v>12</v>
      </c>
      <c r="C406" s="4">
        <v>11416.5</v>
      </c>
      <c r="D406" s="26">
        <v>1007742</v>
      </c>
      <c r="E406" s="5">
        <f>IFERROR(VLOOKUP(J406,Sheet2!C406:F909,2),0)</f>
        <v>10</v>
      </c>
      <c r="F406" s="5">
        <f>IFERROR(VLOOKUP(J406,Sheet2!C406:F909,3),0)</f>
        <v>719</v>
      </c>
      <c r="G406" s="5">
        <f>IFERROR(VLOOKUP(J406, Sheet2!C406:F909,4),0)</f>
        <v>627</v>
      </c>
      <c r="H406" s="12">
        <f t="shared" si="18"/>
        <v>100774.2</v>
      </c>
      <c r="I406">
        <f t="shared" si="19"/>
        <v>23</v>
      </c>
      <c r="J406" t="str">
        <f t="shared" si="20"/>
        <v>2020-06-01Тольятти</v>
      </c>
    </row>
    <row r="407" spans="1:10" ht="14.25" customHeight="1" x14ac:dyDescent="0.3">
      <c r="A407" s="15">
        <v>43962</v>
      </c>
      <c r="B407" s="6" t="s">
        <v>12</v>
      </c>
      <c r="C407" s="6">
        <v>9007.5</v>
      </c>
      <c r="D407" s="27">
        <v>734335.5</v>
      </c>
      <c r="E407" s="5">
        <f>IFERROR(VLOOKUP(J407,Sheet2!C407:F910,2),0)</f>
        <v>0</v>
      </c>
      <c r="F407" s="5">
        <f>IFERROR(VLOOKUP(J407,Sheet2!C407:F910,3),0)</f>
        <v>0</v>
      </c>
      <c r="G407" s="5">
        <f>IFERROR(VLOOKUP(J407, Sheet2!C407:F910,4),0)</f>
        <v>0</v>
      </c>
      <c r="H407" s="12">
        <f t="shared" si="18"/>
        <v>0</v>
      </c>
      <c r="I407">
        <f t="shared" si="19"/>
        <v>20</v>
      </c>
      <c r="J407" t="str">
        <f t="shared" si="20"/>
        <v>2020-05-11Тольятти</v>
      </c>
    </row>
    <row r="408" spans="1:10" ht="14.25" customHeight="1" x14ac:dyDescent="0.3">
      <c r="A408" s="14">
        <v>43980</v>
      </c>
      <c r="B408" s="4" t="s">
        <v>11</v>
      </c>
      <c r="C408" s="4">
        <v>87552</v>
      </c>
      <c r="D408" s="26">
        <v>7387116</v>
      </c>
      <c r="E408" s="5">
        <f>IFERROR(VLOOKUP(J408,Sheet2!C408:F911,2),0)</f>
        <v>31</v>
      </c>
      <c r="F408" s="5">
        <f>IFERROR(VLOOKUP(J408,Sheet2!C408:F911,3),0)</f>
        <v>5751</v>
      </c>
      <c r="G408" s="5">
        <f>IFERROR(VLOOKUP(J408, Sheet2!C408:F911,4),0)</f>
        <v>5319</v>
      </c>
      <c r="H408" s="12">
        <f t="shared" si="18"/>
        <v>238294.06451612903</v>
      </c>
      <c r="I408">
        <f t="shared" si="19"/>
        <v>22</v>
      </c>
      <c r="J408" t="str">
        <f t="shared" si="20"/>
        <v>2020-05-29Екатеринбург</v>
      </c>
    </row>
    <row r="409" spans="1:10" ht="14.25" customHeight="1" x14ac:dyDescent="0.3">
      <c r="A409" s="15">
        <v>43969</v>
      </c>
      <c r="B409" s="6" t="s">
        <v>12</v>
      </c>
      <c r="C409" s="6">
        <v>11680.5</v>
      </c>
      <c r="D409" s="27">
        <v>936427.5</v>
      </c>
      <c r="E409" s="5">
        <f>IFERROR(VLOOKUP(J409,Sheet2!C409:F912,2),0)</f>
        <v>0</v>
      </c>
      <c r="F409" s="5">
        <f>IFERROR(VLOOKUP(J409,Sheet2!C409:F912,3),0)</f>
        <v>0</v>
      </c>
      <c r="G409" s="5">
        <f>IFERROR(VLOOKUP(J409, Sheet2!C409:F912,4),0)</f>
        <v>0</v>
      </c>
      <c r="H409" s="12">
        <f t="shared" si="18"/>
        <v>0</v>
      </c>
      <c r="I409">
        <f t="shared" si="19"/>
        <v>21</v>
      </c>
      <c r="J409" t="str">
        <f t="shared" si="20"/>
        <v>2020-05-18Тольятти</v>
      </c>
    </row>
    <row r="410" spans="1:10" ht="14.25" customHeight="1" x14ac:dyDescent="0.3">
      <c r="A410" s="14">
        <v>43965</v>
      </c>
      <c r="B410" s="4" t="s">
        <v>12</v>
      </c>
      <c r="C410" s="4">
        <v>12037.5</v>
      </c>
      <c r="D410" s="26">
        <v>981564</v>
      </c>
      <c r="E410" s="5">
        <f>IFERROR(VLOOKUP(J410,Sheet2!C410:F913,2),0)</f>
        <v>0</v>
      </c>
      <c r="F410" s="5">
        <f>IFERROR(VLOOKUP(J410,Sheet2!C410:F913,3),0)</f>
        <v>0</v>
      </c>
      <c r="G410" s="5">
        <f>IFERROR(VLOOKUP(J410, Sheet2!C410:F913,4),0)</f>
        <v>0</v>
      </c>
      <c r="H410" s="12">
        <f t="shared" si="18"/>
        <v>0</v>
      </c>
      <c r="I410">
        <f t="shared" si="19"/>
        <v>20</v>
      </c>
      <c r="J410" t="str">
        <f t="shared" si="20"/>
        <v>2020-05-14Тольятти</v>
      </c>
    </row>
    <row r="411" spans="1:10" ht="14.25" customHeight="1" x14ac:dyDescent="0.3">
      <c r="A411" s="15">
        <v>43966</v>
      </c>
      <c r="B411" s="6" t="s">
        <v>12</v>
      </c>
      <c r="C411" s="6">
        <v>14421</v>
      </c>
      <c r="D411" s="27">
        <v>1150579.5</v>
      </c>
      <c r="E411" s="5">
        <f>IFERROR(VLOOKUP(J411,Sheet2!C411:F914,2),0)</f>
        <v>0</v>
      </c>
      <c r="F411" s="5">
        <f>IFERROR(VLOOKUP(J411,Sheet2!C411:F914,3),0)</f>
        <v>0</v>
      </c>
      <c r="G411" s="5">
        <f>IFERROR(VLOOKUP(J411, Sheet2!C411:F914,4),0)</f>
        <v>0</v>
      </c>
      <c r="H411" s="12">
        <f t="shared" si="18"/>
        <v>0</v>
      </c>
      <c r="I411">
        <f t="shared" si="19"/>
        <v>20</v>
      </c>
      <c r="J411" t="str">
        <f t="shared" si="20"/>
        <v>2020-05-15Тольятти</v>
      </c>
    </row>
    <row r="412" spans="1:10" ht="14.25" customHeight="1" x14ac:dyDescent="0.3">
      <c r="A412" s="14">
        <v>43980</v>
      </c>
      <c r="B412" s="4" t="s">
        <v>12</v>
      </c>
      <c r="C412" s="4">
        <v>14823</v>
      </c>
      <c r="D412" s="26">
        <v>1273464</v>
      </c>
      <c r="E412" s="5">
        <f>IFERROR(VLOOKUP(J412,Sheet2!C412:F915,2),0)</f>
        <v>10</v>
      </c>
      <c r="F412" s="5">
        <f>IFERROR(VLOOKUP(J412,Sheet2!C412:F915,3),0)</f>
        <v>873</v>
      </c>
      <c r="G412" s="5">
        <f>IFERROR(VLOOKUP(J412, Sheet2!C412:F915,4),0)</f>
        <v>770</v>
      </c>
      <c r="H412" s="12">
        <f t="shared" si="18"/>
        <v>127346.4</v>
      </c>
      <c r="I412">
        <f t="shared" si="19"/>
        <v>22</v>
      </c>
      <c r="J412" t="str">
        <f t="shared" si="20"/>
        <v>2020-05-29Тольятти</v>
      </c>
    </row>
    <row r="413" spans="1:10" ht="14.25" customHeight="1" x14ac:dyDescent="0.3">
      <c r="A413" s="15">
        <v>43978</v>
      </c>
      <c r="B413" s="6" t="s">
        <v>13</v>
      </c>
      <c r="C413" s="6">
        <v>31257</v>
      </c>
      <c r="D413" s="27">
        <v>2924133</v>
      </c>
      <c r="E413" s="5">
        <f>IFERROR(VLOOKUP(J413,Sheet2!C413:F916,2),0)</f>
        <v>20</v>
      </c>
      <c r="F413" s="5">
        <f>IFERROR(VLOOKUP(J413,Sheet2!C413:F916,3),0)</f>
        <v>2079</v>
      </c>
      <c r="G413" s="5">
        <f>IFERROR(VLOOKUP(J413, Sheet2!C413:F916,4),0)</f>
        <v>1856</v>
      </c>
      <c r="H413" s="12">
        <f t="shared" si="18"/>
        <v>146206.65</v>
      </c>
      <c r="I413">
        <f t="shared" si="19"/>
        <v>22</v>
      </c>
      <c r="J413" t="str">
        <f t="shared" si="20"/>
        <v>2020-05-27Нижний Новгород</v>
      </c>
    </row>
    <row r="414" spans="1:10" ht="14.25" customHeight="1" x14ac:dyDescent="0.3">
      <c r="A414" s="14">
        <v>43973</v>
      </c>
      <c r="B414" s="4" t="s">
        <v>13</v>
      </c>
      <c r="C414" s="4">
        <v>38074.5</v>
      </c>
      <c r="D414" s="26">
        <v>3414180</v>
      </c>
      <c r="E414" s="5">
        <f>IFERROR(VLOOKUP(J414,Sheet2!C414:F917,2),0)</f>
        <v>0</v>
      </c>
      <c r="F414" s="5">
        <f>IFERROR(VLOOKUP(J414,Sheet2!C414:F917,3),0)</f>
        <v>0</v>
      </c>
      <c r="G414" s="5">
        <f>IFERROR(VLOOKUP(J414, Sheet2!C414:F917,4),0)</f>
        <v>0</v>
      </c>
      <c r="H414" s="12">
        <f t="shared" si="18"/>
        <v>0</v>
      </c>
      <c r="I414">
        <f t="shared" si="19"/>
        <v>21</v>
      </c>
      <c r="J414" t="str">
        <f t="shared" si="20"/>
        <v>2020-05-22Нижний Новгород</v>
      </c>
    </row>
    <row r="415" spans="1:10" ht="14.25" customHeight="1" x14ac:dyDescent="0.3">
      <c r="A415" s="15">
        <v>43983</v>
      </c>
      <c r="B415" s="6" t="s">
        <v>13</v>
      </c>
      <c r="C415" s="6">
        <v>32170.5</v>
      </c>
      <c r="D415" s="27">
        <v>3013512</v>
      </c>
      <c r="E415" s="5">
        <f>IFERROR(VLOOKUP(J415,Sheet2!C415:F918,2),0)</f>
        <v>20</v>
      </c>
      <c r="F415" s="5">
        <f>IFERROR(VLOOKUP(J415,Sheet2!C415:F918,3),0)</f>
        <v>2136</v>
      </c>
      <c r="G415" s="5">
        <f>IFERROR(VLOOKUP(J415, Sheet2!C415:F918,4),0)</f>
        <v>1899</v>
      </c>
      <c r="H415" s="12">
        <f t="shared" si="18"/>
        <v>150675.6</v>
      </c>
      <c r="I415">
        <f t="shared" si="19"/>
        <v>23</v>
      </c>
      <c r="J415" t="str">
        <f t="shared" si="20"/>
        <v>2020-06-01Нижний Новгород</v>
      </c>
    </row>
    <row r="416" spans="1:10" ht="14.25" customHeight="1" x14ac:dyDescent="0.3">
      <c r="A416" s="14">
        <v>43962</v>
      </c>
      <c r="B416" s="4" t="s">
        <v>13</v>
      </c>
      <c r="C416" s="4">
        <v>42397.5</v>
      </c>
      <c r="D416" s="26">
        <v>3911979</v>
      </c>
      <c r="E416" s="5">
        <f>IFERROR(VLOOKUP(J416,Sheet2!C416:F919,2),0)</f>
        <v>0</v>
      </c>
      <c r="F416" s="5">
        <f>IFERROR(VLOOKUP(J416,Sheet2!C416:F919,3),0)</f>
        <v>0</v>
      </c>
      <c r="G416" s="5">
        <f>IFERROR(VLOOKUP(J416, Sheet2!C416:F919,4),0)</f>
        <v>0</v>
      </c>
      <c r="H416" s="12">
        <f t="shared" si="18"/>
        <v>0</v>
      </c>
      <c r="I416">
        <f t="shared" si="19"/>
        <v>20</v>
      </c>
      <c r="J416" t="str">
        <f t="shared" si="20"/>
        <v>2020-05-11Нижний Новгород</v>
      </c>
    </row>
    <row r="417" spans="1:10" ht="14.25" customHeight="1" x14ac:dyDescent="0.3">
      <c r="A417" s="15">
        <v>43969</v>
      </c>
      <c r="B417" s="6" t="s">
        <v>13</v>
      </c>
      <c r="C417" s="6">
        <v>28668</v>
      </c>
      <c r="D417" s="27">
        <v>2588148</v>
      </c>
      <c r="E417" s="5">
        <f>IFERROR(VLOOKUP(J417,Sheet2!C417:F920,2),0)</f>
        <v>0</v>
      </c>
      <c r="F417" s="5">
        <f>IFERROR(VLOOKUP(J417,Sheet2!C417:F920,3),0)</f>
        <v>0</v>
      </c>
      <c r="G417" s="5">
        <f>IFERROR(VLOOKUP(J417, Sheet2!C417:F920,4),0)</f>
        <v>0</v>
      </c>
      <c r="H417" s="12">
        <f t="shared" si="18"/>
        <v>0</v>
      </c>
      <c r="I417">
        <f t="shared" si="19"/>
        <v>21</v>
      </c>
      <c r="J417" t="str">
        <f t="shared" si="20"/>
        <v>2020-05-18Нижний Новгород</v>
      </c>
    </row>
    <row r="418" spans="1:10" ht="14.25" customHeight="1" x14ac:dyDescent="0.3">
      <c r="A418" s="14">
        <v>43965</v>
      </c>
      <c r="B418" s="4" t="s">
        <v>13</v>
      </c>
      <c r="C418" s="4">
        <v>27411</v>
      </c>
      <c r="D418" s="26">
        <v>2441520</v>
      </c>
      <c r="E418" s="5">
        <f>IFERROR(VLOOKUP(J418,Sheet2!C418:F921,2),0)</f>
        <v>0</v>
      </c>
      <c r="F418" s="5">
        <f>IFERROR(VLOOKUP(J418,Sheet2!C418:F921,3),0)</f>
        <v>0</v>
      </c>
      <c r="G418" s="5">
        <f>IFERROR(VLOOKUP(J418, Sheet2!C418:F921,4),0)</f>
        <v>0</v>
      </c>
      <c r="H418" s="12">
        <f t="shared" si="18"/>
        <v>0</v>
      </c>
      <c r="I418">
        <f t="shared" si="19"/>
        <v>20</v>
      </c>
      <c r="J418" t="str">
        <f t="shared" si="20"/>
        <v>2020-05-14Нижний Новгород</v>
      </c>
    </row>
    <row r="419" spans="1:10" ht="14.25" customHeight="1" x14ac:dyDescent="0.3">
      <c r="A419" s="15">
        <v>43966</v>
      </c>
      <c r="B419" s="6" t="s">
        <v>13</v>
      </c>
      <c r="C419" s="6">
        <v>32854.5</v>
      </c>
      <c r="D419" s="27">
        <v>2949078</v>
      </c>
      <c r="E419" s="5">
        <f>IFERROR(VLOOKUP(J419,Sheet2!C419:F922,2),0)</f>
        <v>0</v>
      </c>
      <c r="F419" s="5">
        <f>IFERROR(VLOOKUP(J419,Sheet2!C419:F922,3),0)</f>
        <v>0</v>
      </c>
      <c r="G419" s="5">
        <f>IFERROR(VLOOKUP(J419, Sheet2!C419:F922,4),0)</f>
        <v>0</v>
      </c>
      <c r="H419" s="12">
        <f t="shared" si="18"/>
        <v>0</v>
      </c>
      <c r="I419">
        <f t="shared" si="19"/>
        <v>20</v>
      </c>
      <c r="J419" t="str">
        <f t="shared" si="20"/>
        <v>2020-05-15Нижний Новгород</v>
      </c>
    </row>
    <row r="420" spans="1:10" ht="14.25" customHeight="1" x14ac:dyDescent="0.3">
      <c r="A420" s="14">
        <v>43980</v>
      </c>
      <c r="B420" s="4" t="s">
        <v>13</v>
      </c>
      <c r="C420" s="4">
        <v>35346</v>
      </c>
      <c r="D420" s="26">
        <v>3258054</v>
      </c>
      <c r="E420" s="5">
        <f>IFERROR(VLOOKUP(J420,Sheet2!C420:F923,2),0)</f>
        <v>20</v>
      </c>
      <c r="F420" s="5">
        <f>IFERROR(VLOOKUP(J420,Sheet2!C420:F923,3),0)</f>
        <v>2249</v>
      </c>
      <c r="G420" s="5">
        <f>IFERROR(VLOOKUP(J420, Sheet2!C420:F923,4),0)</f>
        <v>2000</v>
      </c>
      <c r="H420" s="12">
        <f t="shared" si="18"/>
        <v>162902.70000000001</v>
      </c>
      <c r="I420">
        <f t="shared" si="19"/>
        <v>22</v>
      </c>
      <c r="J420" t="str">
        <f t="shared" si="20"/>
        <v>2020-05-29Нижний Новгород</v>
      </c>
    </row>
    <row r="421" spans="1:10" ht="14.25" customHeight="1" x14ac:dyDescent="0.3">
      <c r="A421" s="15">
        <v>43978</v>
      </c>
      <c r="B421" s="6" t="s">
        <v>14</v>
      </c>
      <c r="C421" s="6">
        <v>286558.5</v>
      </c>
      <c r="D421" s="27">
        <v>29256993</v>
      </c>
      <c r="E421" s="5">
        <f>IFERROR(VLOOKUP(J421,Sheet2!C421:F924,2),0)</f>
        <v>0</v>
      </c>
      <c r="F421" s="5">
        <f>IFERROR(VLOOKUP(J421,Sheet2!C421:F924,3),0)</f>
        <v>0</v>
      </c>
      <c r="G421" s="5">
        <f>IFERROR(VLOOKUP(J421, Sheet2!C421:F924,4),0)</f>
        <v>0</v>
      </c>
      <c r="H421" s="12">
        <f t="shared" si="18"/>
        <v>0</v>
      </c>
      <c r="I421">
        <f t="shared" si="19"/>
        <v>22</v>
      </c>
      <c r="J421" t="str">
        <f t="shared" si="20"/>
        <v>2020-05-27Санкт-Петербург Юг</v>
      </c>
    </row>
    <row r="422" spans="1:10" ht="14.25" customHeight="1" x14ac:dyDescent="0.3">
      <c r="A422" s="14">
        <v>43973</v>
      </c>
      <c r="B422" s="4" t="s">
        <v>14</v>
      </c>
      <c r="C422" s="4">
        <v>304092</v>
      </c>
      <c r="D422" s="26">
        <v>29465769</v>
      </c>
      <c r="E422" s="5">
        <f>IFERROR(VLOOKUP(J422,Sheet2!C422:F925,2),0)</f>
        <v>0</v>
      </c>
      <c r="F422" s="5">
        <f>IFERROR(VLOOKUP(J422,Sheet2!C422:F925,3),0)</f>
        <v>0</v>
      </c>
      <c r="G422" s="5">
        <f>IFERROR(VLOOKUP(J422, Sheet2!C422:F925,4),0)</f>
        <v>0</v>
      </c>
      <c r="H422" s="12">
        <f t="shared" si="18"/>
        <v>0</v>
      </c>
      <c r="I422">
        <f t="shared" si="19"/>
        <v>21</v>
      </c>
      <c r="J422" t="str">
        <f t="shared" si="20"/>
        <v>2020-05-22Санкт-Петербург Юг</v>
      </c>
    </row>
    <row r="423" spans="1:10" ht="14.25" customHeight="1" x14ac:dyDescent="0.3">
      <c r="A423" s="15">
        <v>43983</v>
      </c>
      <c r="B423" s="6" t="s">
        <v>14</v>
      </c>
      <c r="C423" s="6">
        <v>272926.5</v>
      </c>
      <c r="D423" s="27">
        <v>27770092.5</v>
      </c>
      <c r="E423" s="5">
        <f>IFERROR(VLOOKUP(J423,Sheet2!C423:F926,2),0)</f>
        <v>128</v>
      </c>
      <c r="F423" s="5">
        <f>IFERROR(VLOOKUP(J423,Sheet2!C423:F926,3),0)</f>
        <v>16285</v>
      </c>
      <c r="G423" s="5">
        <f>IFERROR(VLOOKUP(J423, Sheet2!C423:F926,4),0)</f>
        <v>15130</v>
      </c>
      <c r="H423" s="12">
        <f t="shared" si="18"/>
        <v>216953.84765625</v>
      </c>
      <c r="I423">
        <f t="shared" si="19"/>
        <v>23</v>
      </c>
      <c r="J423" t="str">
        <f t="shared" si="20"/>
        <v>2020-06-01Санкт-Петербург Юг</v>
      </c>
    </row>
    <row r="424" spans="1:10" ht="14.25" customHeight="1" x14ac:dyDescent="0.3">
      <c r="A424" s="14">
        <v>43962</v>
      </c>
      <c r="B424" s="4" t="s">
        <v>14</v>
      </c>
      <c r="C424" s="4">
        <v>237099</v>
      </c>
      <c r="D424" s="26">
        <v>24628233.223949999</v>
      </c>
      <c r="E424" s="5">
        <f>IFERROR(VLOOKUP(J424,Sheet2!C424:F927,2),0)</f>
        <v>0</v>
      </c>
      <c r="F424" s="5">
        <f>IFERROR(VLOOKUP(J424,Sheet2!C424:F927,3),0)</f>
        <v>0</v>
      </c>
      <c r="G424" s="5">
        <f>IFERROR(VLOOKUP(J424, Sheet2!C424:F927,4),0)</f>
        <v>0</v>
      </c>
      <c r="H424" s="12">
        <f t="shared" si="18"/>
        <v>0</v>
      </c>
      <c r="I424">
        <f t="shared" si="19"/>
        <v>20</v>
      </c>
      <c r="J424" t="str">
        <f t="shared" si="20"/>
        <v>2020-05-11Санкт-Петербург Юг</v>
      </c>
    </row>
    <row r="425" spans="1:10" ht="14.25" customHeight="1" x14ac:dyDescent="0.3">
      <c r="A425" s="15">
        <v>43969</v>
      </c>
      <c r="B425" s="6" t="s">
        <v>14</v>
      </c>
      <c r="C425" s="6">
        <v>273900</v>
      </c>
      <c r="D425" s="27">
        <v>27535284.147600003</v>
      </c>
      <c r="E425" s="5">
        <f>IFERROR(VLOOKUP(J425,Sheet2!C425:F928,2),0)</f>
        <v>0</v>
      </c>
      <c r="F425" s="5">
        <f>IFERROR(VLOOKUP(J425,Sheet2!C425:F928,3),0)</f>
        <v>0</v>
      </c>
      <c r="G425" s="5">
        <f>IFERROR(VLOOKUP(J425, Sheet2!C425:F928,4),0)</f>
        <v>0</v>
      </c>
      <c r="H425" s="12">
        <f t="shared" si="18"/>
        <v>0</v>
      </c>
      <c r="I425">
        <f t="shared" si="19"/>
        <v>21</v>
      </c>
      <c r="J425" t="str">
        <f t="shared" si="20"/>
        <v>2020-05-18Санкт-Петербург Юг</v>
      </c>
    </row>
    <row r="426" spans="1:10" ht="14.25" customHeight="1" x14ac:dyDescent="0.3">
      <c r="A426" s="14">
        <v>43965</v>
      </c>
      <c r="B426" s="4" t="s">
        <v>14</v>
      </c>
      <c r="C426" s="4">
        <v>274059</v>
      </c>
      <c r="D426" s="26">
        <v>28181292</v>
      </c>
      <c r="E426" s="5">
        <f>IFERROR(VLOOKUP(J426,Sheet2!C426:F929,2),0)</f>
        <v>0</v>
      </c>
      <c r="F426" s="5">
        <f>IFERROR(VLOOKUP(J426,Sheet2!C426:F929,3),0)</f>
        <v>0</v>
      </c>
      <c r="G426" s="5">
        <f>IFERROR(VLOOKUP(J426, Sheet2!C426:F929,4),0)</f>
        <v>0</v>
      </c>
      <c r="H426" s="12">
        <f t="shared" si="18"/>
        <v>0</v>
      </c>
      <c r="I426">
        <f t="shared" si="19"/>
        <v>20</v>
      </c>
      <c r="J426" t="str">
        <f t="shared" si="20"/>
        <v>2020-05-14Санкт-Петербург Юг</v>
      </c>
    </row>
    <row r="427" spans="1:10" ht="14.25" customHeight="1" x14ac:dyDescent="0.3">
      <c r="A427" s="15">
        <v>43966</v>
      </c>
      <c r="B427" s="6" t="s">
        <v>14</v>
      </c>
      <c r="C427" s="6">
        <v>318816</v>
      </c>
      <c r="D427" s="27">
        <v>32354331</v>
      </c>
      <c r="E427" s="5">
        <f>IFERROR(VLOOKUP(J427,Sheet2!C427:F930,2),0)</f>
        <v>0</v>
      </c>
      <c r="F427" s="5">
        <f>IFERROR(VLOOKUP(J427,Sheet2!C427:F930,3),0)</f>
        <v>0</v>
      </c>
      <c r="G427" s="5">
        <f>IFERROR(VLOOKUP(J427, Sheet2!C427:F930,4),0)</f>
        <v>0</v>
      </c>
      <c r="H427" s="12">
        <f t="shared" si="18"/>
        <v>0</v>
      </c>
      <c r="I427">
        <f t="shared" si="19"/>
        <v>20</v>
      </c>
      <c r="J427" t="str">
        <f t="shared" si="20"/>
        <v>2020-05-15Санкт-Петербург Юг</v>
      </c>
    </row>
    <row r="428" spans="1:10" ht="14.25" customHeight="1" x14ac:dyDescent="0.3">
      <c r="A428" s="14">
        <v>43978</v>
      </c>
      <c r="B428" s="4" t="s">
        <v>15</v>
      </c>
      <c r="C428" s="4">
        <v>370012.5</v>
      </c>
      <c r="D428" s="26">
        <v>39034861.5</v>
      </c>
      <c r="E428" s="5">
        <f>IFERROR(VLOOKUP(J428,Sheet2!C428:F931,2),0)</f>
        <v>0</v>
      </c>
      <c r="F428" s="5">
        <f>IFERROR(VLOOKUP(J428,Sheet2!C428:F931,3),0)</f>
        <v>0</v>
      </c>
      <c r="G428" s="5">
        <f>IFERROR(VLOOKUP(J428, Sheet2!C428:F931,4),0)</f>
        <v>0</v>
      </c>
      <c r="H428" s="12">
        <f t="shared" si="18"/>
        <v>0</v>
      </c>
      <c r="I428">
        <f t="shared" si="19"/>
        <v>22</v>
      </c>
      <c r="J428" t="str">
        <f t="shared" si="20"/>
        <v>2020-05-27Санкт-Петербург Север</v>
      </c>
    </row>
    <row r="429" spans="1:10" ht="14.25" customHeight="1" x14ac:dyDescent="0.3">
      <c r="A429" s="15">
        <v>43973</v>
      </c>
      <c r="B429" s="6" t="s">
        <v>15</v>
      </c>
      <c r="C429" s="6">
        <v>393018</v>
      </c>
      <c r="D429" s="27">
        <v>39498373.5</v>
      </c>
      <c r="E429" s="5">
        <f>IFERROR(VLOOKUP(J429,Sheet2!C429:F932,2),0)</f>
        <v>0</v>
      </c>
      <c r="F429" s="5">
        <f>IFERROR(VLOOKUP(J429,Sheet2!C429:F932,3),0)</f>
        <v>0</v>
      </c>
      <c r="G429" s="5">
        <f>IFERROR(VLOOKUP(J429, Sheet2!C429:F932,4),0)</f>
        <v>0</v>
      </c>
      <c r="H429" s="12">
        <f t="shared" si="18"/>
        <v>0</v>
      </c>
      <c r="I429">
        <f t="shared" si="19"/>
        <v>21</v>
      </c>
      <c r="J429" t="str">
        <f t="shared" si="20"/>
        <v>2020-05-22Санкт-Петербург Север</v>
      </c>
    </row>
    <row r="430" spans="1:10" ht="14.25" customHeight="1" x14ac:dyDescent="0.3">
      <c r="A430" s="14">
        <v>43983</v>
      </c>
      <c r="B430" s="4" t="s">
        <v>15</v>
      </c>
      <c r="C430" s="4">
        <v>349699.5</v>
      </c>
      <c r="D430" s="26">
        <v>37257840.18135</v>
      </c>
      <c r="E430" s="5">
        <f>IFERROR(VLOOKUP(J430,Sheet2!C430:F933,2),0)</f>
        <v>123</v>
      </c>
      <c r="F430" s="5">
        <f>IFERROR(VLOOKUP(J430,Sheet2!C430:F933,3),0)</f>
        <v>20325</v>
      </c>
      <c r="G430" s="5">
        <f>IFERROR(VLOOKUP(J430, Sheet2!C430:F933,4),0)</f>
        <v>18935</v>
      </c>
      <c r="H430" s="12">
        <f t="shared" si="18"/>
        <v>302909.26976707316</v>
      </c>
      <c r="I430">
        <f t="shared" si="19"/>
        <v>23</v>
      </c>
      <c r="J430" t="str">
        <f t="shared" si="20"/>
        <v>2020-06-01Санкт-Петербург Север</v>
      </c>
    </row>
    <row r="431" spans="1:10" ht="14.25" customHeight="1" x14ac:dyDescent="0.3">
      <c r="A431" s="15">
        <v>43962</v>
      </c>
      <c r="B431" s="6" t="s">
        <v>15</v>
      </c>
      <c r="C431" s="6">
        <v>318565.5</v>
      </c>
      <c r="D431" s="27">
        <v>33781581</v>
      </c>
      <c r="E431" s="5">
        <f>IFERROR(VLOOKUP(J431,Sheet2!C431:F934,2),0)</f>
        <v>0</v>
      </c>
      <c r="F431" s="5">
        <f>IFERROR(VLOOKUP(J431,Sheet2!C431:F934,3),0)</f>
        <v>0</v>
      </c>
      <c r="G431" s="5">
        <f>IFERROR(VLOOKUP(J431, Sheet2!C431:F934,4),0)</f>
        <v>0</v>
      </c>
      <c r="H431" s="12">
        <f t="shared" si="18"/>
        <v>0</v>
      </c>
      <c r="I431">
        <f t="shared" si="19"/>
        <v>20</v>
      </c>
      <c r="J431" t="str">
        <f t="shared" si="20"/>
        <v>2020-05-11Санкт-Петербург Север</v>
      </c>
    </row>
    <row r="432" spans="1:10" ht="14.25" customHeight="1" x14ac:dyDescent="0.3">
      <c r="A432" s="14">
        <v>43980</v>
      </c>
      <c r="B432" s="4" t="s">
        <v>14</v>
      </c>
      <c r="C432" s="4">
        <v>422965.5</v>
      </c>
      <c r="D432" s="26">
        <v>41767140.105000004</v>
      </c>
      <c r="E432" s="5">
        <f>IFERROR(VLOOKUP(J432,Sheet2!C432:F935,2),0)</f>
        <v>129</v>
      </c>
      <c r="F432" s="5">
        <f>IFERROR(VLOOKUP(J432,Sheet2!C432:F935,3),0)</f>
        <v>22403</v>
      </c>
      <c r="G432" s="5">
        <f>IFERROR(VLOOKUP(J432, Sheet2!C432:F935,4),0)</f>
        <v>20676</v>
      </c>
      <c r="H432" s="12">
        <f t="shared" si="18"/>
        <v>323776.27988372097</v>
      </c>
      <c r="I432">
        <f t="shared" si="19"/>
        <v>22</v>
      </c>
      <c r="J432" t="str">
        <f t="shared" si="20"/>
        <v>2020-05-29Санкт-Петербург Юг</v>
      </c>
    </row>
    <row r="433" spans="1:10" ht="14.25" customHeight="1" x14ac:dyDescent="0.3">
      <c r="A433" s="15">
        <v>43969</v>
      </c>
      <c r="B433" s="6" t="s">
        <v>15</v>
      </c>
      <c r="C433" s="6">
        <v>355081.5</v>
      </c>
      <c r="D433" s="27">
        <v>36876888</v>
      </c>
      <c r="E433" s="5">
        <f>IFERROR(VLOOKUP(J433,Sheet2!C433:F936,2),0)</f>
        <v>0</v>
      </c>
      <c r="F433" s="5">
        <f>IFERROR(VLOOKUP(J433,Sheet2!C433:F936,3),0)</f>
        <v>0</v>
      </c>
      <c r="G433" s="5">
        <f>IFERROR(VLOOKUP(J433, Sheet2!C433:F936,4),0)</f>
        <v>0</v>
      </c>
      <c r="H433" s="12">
        <f t="shared" si="18"/>
        <v>0</v>
      </c>
      <c r="I433">
        <f t="shared" si="19"/>
        <v>21</v>
      </c>
      <c r="J433" t="str">
        <f t="shared" si="20"/>
        <v>2020-05-18Санкт-Петербург Север</v>
      </c>
    </row>
    <row r="434" spans="1:10" ht="14.25" customHeight="1" x14ac:dyDescent="0.3">
      <c r="A434" s="14">
        <v>43965</v>
      </c>
      <c r="B434" s="4" t="s">
        <v>15</v>
      </c>
      <c r="C434" s="4">
        <v>358387.5</v>
      </c>
      <c r="D434" s="26">
        <v>37963150.5</v>
      </c>
      <c r="E434" s="5">
        <f>IFERROR(VLOOKUP(J434,Sheet2!C434:F937,2),0)</f>
        <v>0</v>
      </c>
      <c r="F434" s="5">
        <f>IFERROR(VLOOKUP(J434,Sheet2!C434:F937,3),0)</f>
        <v>0</v>
      </c>
      <c r="G434" s="5">
        <f>IFERROR(VLOOKUP(J434, Sheet2!C434:F937,4),0)</f>
        <v>0</v>
      </c>
      <c r="H434" s="12">
        <f t="shared" si="18"/>
        <v>0</v>
      </c>
      <c r="I434">
        <f t="shared" si="19"/>
        <v>20</v>
      </c>
      <c r="J434" t="str">
        <f t="shared" si="20"/>
        <v>2020-05-14Санкт-Петербург Север</v>
      </c>
    </row>
    <row r="435" spans="1:10" ht="14.25" customHeight="1" x14ac:dyDescent="0.3">
      <c r="A435" s="15">
        <v>43966</v>
      </c>
      <c r="B435" s="6" t="s">
        <v>15</v>
      </c>
      <c r="C435" s="6">
        <v>403261.5</v>
      </c>
      <c r="D435" s="27">
        <v>42271377</v>
      </c>
      <c r="E435" s="5">
        <f>IFERROR(VLOOKUP(J435,Sheet2!C435:F938,2),0)</f>
        <v>0</v>
      </c>
      <c r="F435" s="5">
        <f>IFERROR(VLOOKUP(J435,Sheet2!C435:F938,3),0)</f>
        <v>0</v>
      </c>
      <c r="G435" s="5">
        <f>IFERROR(VLOOKUP(J435, Sheet2!C435:F938,4),0)</f>
        <v>0</v>
      </c>
      <c r="H435" s="12">
        <f t="shared" si="18"/>
        <v>0</v>
      </c>
      <c r="I435">
        <f t="shared" si="19"/>
        <v>20</v>
      </c>
      <c r="J435" t="str">
        <f t="shared" si="20"/>
        <v>2020-05-15Санкт-Петербург Север</v>
      </c>
    </row>
    <row r="436" spans="1:10" ht="14.25" customHeight="1" x14ac:dyDescent="0.3">
      <c r="A436" s="14">
        <v>43978</v>
      </c>
      <c r="B436" s="4" t="s">
        <v>16</v>
      </c>
      <c r="C436" s="4">
        <v>69010.5</v>
      </c>
      <c r="D436" s="26">
        <v>5985894</v>
      </c>
      <c r="E436" s="5">
        <f>IFERROR(VLOOKUP(J436,Sheet2!C436:F939,2),0)</f>
        <v>0</v>
      </c>
      <c r="F436" s="5">
        <f>IFERROR(VLOOKUP(J436,Sheet2!C436:F939,3),0)</f>
        <v>0</v>
      </c>
      <c r="G436" s="5">
        <f>IFERROR(VLOOKUP(J436, Sheet2!C436:F939,4),0)</f>
        <v>0</v>
      </c>
      <c r="H436" s="12">
        <f t="shared" si="18"/>
        <v>0</v>
      </c>
      <c r="I436">
        <f t="shared" si="19"/>
        <v>22</v>
      </c>
      <c r="J436" t="str">
        <f t="shared" si="20"/>
        <v>2020-05-27Волгоград</v>
      </c>
    </row>
    <row r="437" spans="1:10" ht="14.25" customHeight="1" x14ac:dyDescent="0.3">
      <c r="A437" s="15">
        <v>43973</v>
      </c>
      <c r="B437" s="6" t="s">
        <v>16</v>
      </c>
      <c r="C437" s="6">
        <v>75820.5</v>
      </c>
      <c r="D437" s="27">
        <v>5943489</v>
      </c>
      <c r="E437" s="5">
        <f>IFERROR(VLOOKUP(J437,Sheet2!C437:F940,2),0)</f>
        <v>0</v>
      </c>
      <c r="F437" s="5">
        <f>IFERROR(VLOOKUP(J437,Sheet2!C437:F940,3),0)</f>
        <v>0</v>
      </c>
      <c r="G437" s="5">
        <f>IFERROR(VLOOKUP(J437, Sheet2!C437:F940,4),0)</f>
        <v>0</v>
      </c>
      <c r="H437" s="12">
        <f t="shared" si="18"/>
        <v>0</v>
      </c>
      <c r="I437">
        <f t="shared" si="19"/>
        <v>21</v>
      </c>
      <c r="J437" t="str">
        <f t="shared" si="20"/>
        <v>2020-05-22Волгоград</v>
      </c>
    </row>
    <row r="438" spans="1:10" ht="14.25" customHeight="1" x14ac:dyDescent="0.3">
      <c r="A438" s="14">
        <v>43983</v>
      </c>
      <c r="B438" s="4" t="s">
        <v>16</v>
      </c>
      <c r="C438" s="4">
        <v>64740</v>
      </c>
      <c r="D438" s="26">
        <v>5800290</v>
      </c>
      <c r="E438" s="5">
        <f>IFERROR(VLOOKUP(J438,Sheet2!C438:F941,2),0)</f>
        <v>37</v>
      </c>
      <c r="F438" s="5">
        <f>IFERROR(VLOOKUP(J438,Sheet2!C438:F941,3),0)</f>
        <v>4722</v>
      </c>
      <c r="G438" s="5">
        <f>IFERROR(VLOOKUP(J438, Sheet2!C438:F941,4),0)</f>
        <v>4352</v>
      </c>
      <c r="H438" s="12">
        <f t="shared" si="18"/>
        <v>156764.59459459459</v>
      </c>
      <c r="I438">
        <f t="shared" si="19"/>
        <v>23</v>
      </c>
      <c r="J438" t="str">
        <f t="shared" si="20"/>
        <v>2020-06-01Волгоград</v>
      </c>
    </row>
    <row r="439" spans="1:10" ht="14.25" customHeight="1" x14ac:dyDescent="0.3">
      <c r="A439" s="15">
        <v>43962</v>
      </c>
      <c r="B439" s="6" t="s">
        <v>16</v>
      </c>
      <c r="C439" s="6">
        <v>59574</v>
      </c>
      <c r="D439" s="27">
        <v>5178169.5</v>
      </c>
      <c r="E439" s="5">
        <f>IFERROR(VLOOKUP(J439,Sheet2!C439:F942,2),0)</f>
        <v>0</v>
      </c>
      <c r="F439" s="5">
        <f>IFERROR(VLOOKUP(J439,Sheet2!C439:F942,3),0)</f>
        <v>0</v>
      </c>
      <c r="G439" s="5">
        <f>IFERROR(VLOOKUP(J439, Sheet2!C439:F942,4),0)</f>
        <v>0</v>
      </c>
      <c r="H439" s="12">
        <f t="shared" si="18"/>
        <v>0</v>
      </c>
      <c r="I439">
        <f t="shared" si="19"/>
        <v>20</v>
      </c>
      <c r="J439" t="str">
        <f t="shared" si="20"/>
        <v>2020-05-11Волгоград</v>
      </c>
    </row>
    <row r="440" spans="1:10" ht="14.25" customHeight="1" x14ac:dyDescent="0.3">
      <c r="A440" s="14">
        <v>43980</v>
      </c>
      <c r="B440" s="4" t="s">
        <v>15</v>
      </c>
      <c r="C440" s="4">
        <v>524481</v>
      </c>
      <c r="D440" s="26">
        <v>54172029</v>
      </c>
      <c r="E440" s="5">
        <f>IFERROR(VLOOKUP(J440,Sheet2!C440:F943,2),0)</f>
        <v>124</v>
      </c>
      <c r="F440" s="5">
        <f>IFERROR(VLOOKUP(J440,Sheet2!C440:F943,3),0)</f>
        <v>25828</v>
      </c>
      <c r="G440" s="5">
        <f>IFERROR(VLOOKUP(J440, Sheet2!C440:F943,4),0)</f>
        <v>23974</v>
      </c>
      <c r="H440" s="12">
        <f t="shared" si="18"/>
        <v>436871.20161290321</v>
      </c>
      <c r="I440">
        <f t="shared" si="19"/>
        <v>22</v>
      </c>
      <c r="J440" t="str">
        <f t="shared" si="20"/>
        <v>2020-05-29Санкт-Петербург Север</v>
      </c>
    </row>
    <row r="441" spans="1:10" ht="14.25" customHeight="1" x14ac:dyDescent="0.3">
      <c r="A441" s="15">
        <v>43969</v>
      </c>
      <c r="B441" s="6" t="s">
        <v>16</v>
      </c>
      <c r="C441" s="6">
        <v>70278</v>
      </c>
      <c r="D441" s="27">
        <v>5798476.5</v>
      </c>
      <c r="E441" s="5">
        <f>IFERROR(VLOOKUP(J441,Sheet2!C441:F944,2),0)</f>
        <v>0</v>
      </c>
      <c r="F441" s="5">
        <f>IFERROR(VLOOKUP(J441,Sheet2!C441:F944,3),0)</f>
        <v>0</v>
      </c>
      <c r="G441" s="5">
        <f>IFERROR(VLOOKUP(J441, Sheet2!C441:F944,4),0)</f>
        <v>0</v>
      </c>
      <c r="H441" s="12">
        <f t="shared" si="18"/>
        <v>0</v>
      </c>
      <c r="I441">
        <f t="shared" si="19"/>
        <v>21</v>
      </c>
      <c r="J441" t="str">
        <f t="shared" si="20"/>
        <v>2020-05-18Волгоград</v>
      </c>
    </row>
    <row r="442" spans="1:10" ht="14.25" customHeight="1" x14ac:dyDescent="0.3">
      <c r="A442" s="14">
        <v>43965</v>
      </c>
      <c r="B442" s="4" t="s">
        <v>16</v>
      </c>
      <c r="C442" s="4">
        <v>63645</v>
      </c>
      <c r="D442" s="26">
        <v>5366602.5</v>
      </c>
      <c r="E442" s="5">
        <f>IFERROR(VLOOKUP(J442,Sheet2!C442:F945,2),0)</f>
        <v>0</v>
      </c>
      <c r="F442" s="5">
        <f>IFERROR(VLOOKUP(J442,Sheet2!C442:F945,3),0)</f>
        <v>0</v>
      </c>
      <c r="G442" s="5">
        <f>IFERROR(VLOOKUP(J442, Sheet2!C442:F945,4),0)</f>
        <v>0</v>
      </c>
      <c r="H442" s="12">
        <f t="shared" si="18"/>
        <v>0</v>
      </c>
      <c r="I442">
        <f t="shared" si="19"/>
        <v>20</v>
      </c>
      <c r="J442" t="str">
        <f t="shared" si="20"/>
        <v>2020-05-14Волгоград</v>
      </c>
    </row>
    <row r="443" spans="1:10" ht="14.25" customHeight="1" x14ac:dyDescent="0.3">
      <c r="A443" s="15">
        <v>43966</v>
      </c>
      <c r="B443" s="6" t="s">
        <v>16</v>
      </c>
      <c r="C443" s="6">
        <v>75642</v>
      </c>
      <c r="D443" s="27">
        <v>6293952</v>
      </c>
      <c r="E443" s="5">
        <f>IFERROR(VLOOKUP(J443,Sheet2!C443:F946,2),0)</f>
        <v>0</v>
      </c>
      <c r="F443" s="5">
        <f>IFERROR(VLOOKUP(J443,Sheet2!C443:F946,3),0)</f>
        <v>0</v>
      </c>
      <c r="G443" s="5">
        <f>IFERROR(VLOOKUP(J443, Sheet2!C443:F946,4),0)</f>
        <v>0</v>
      </c>
      <c r="H443" s="12">
        <f t="shared" si="18"/>
        <v>0</v>
      </c>
      <c r="I443">
        <f t="shared" si="19"/>
        <v>20</v>
      </c>
      <c r="J443" t="str">
        <f t="shared" si="20"/>
        <v>2020-05-15Волгоград</v>
      </c>
    </row>
    <row r="444" spans="1:10" ht="14.25" customHeight="1" x14ac:dyDescent="0.3">
      <c r="A444" s="14">
        <v>43978</v>
      </c>
      <c r="B444" s="4" t="s">
        <v>17</v>
      </c>
      <c r="C444" s="4">
        <v>40420.5</v>
      </c>
      <c r="D444" s="26">
        <v>3780852</v>
      </c>
      <c r="E444" s="5">
        <f>IFERROR(VLOOKUP(J444,Sheet2!C444:F947,2),0)</f>
        <v>0</v>
      </c>
      <c r="F444" s="5">
        <f>IFERROR(VLOOKUP(J444,Sheet2!C444:F947,3),0)</f>
        <v>0</v>
      </c>
      <c r="G444" s="5">
        <f>IFERROR(VLOOKUP(J444, Sheet2!C444:F947,4),0)</f>
        <v>0</v>
      </c>
      <c r="H444" s="12">
        <f t="shared" si="18"/>
        <v>0</v>
      </c>
      <c r="I444">
        <f t="shared" si="19"/>
        <v>22</v>
      </c>
      <c r="J444" t="str">
        <f t="shared" si="20"/>
        <v>2020-05-27Казань</v>
      </c>
    </row>
    <row r="445" spans="1:10" ht="14.25" customHeight="1" x14ac:dyDescent="0.3">
      <c r="A445" s="15">
        <v>43973</v>
      </c>
      <c r="B445" s="6" t="s">
        <v>17</v>
      </c>
      <c r="C445" s="6">
        <v>53838</v>
      </c>
      <c r="D445" s="27">
        <v>4840833</v>
      </c>
      <c r="E445" s="5">
        <f>IFERROR(VLOOKUP(J445,Sheet2!C445:F948,2),0)</f>
        <v>0</v>
      </c>
      <c r="F445" s="5">
        <f>IFERROR(VLOOKUP(J445,Sheet2!C445:F948,3),0)</f>
        <v>0</v>
      </c>
      <c r="G445" s="5">
        <f>IFERROR(VLOOKUP(J445, Sheet2!C445:F948,4),0)</f>
        <v>0</v>
      </c>
      <c r="H445" s="12">
        <f t="shared" si="18"/>
        <v>0</v>
      </c>
      <c r="I445">
        <f t="shared" si="19"/>
        <v>21</v>
      </c>
      <c r="J445" t="str">
        <f t="shared" si="20"/>
        <v>2020-05-22Казань</v>
      </c>
    </row>
    <row r="446" spans="1:10" ht="14.25" customHeight="1" x14ac:dyDescent="0.3">
      <c r="A446" s="14">
        <v>43983</v>
      </c>
      <c r="B446" s="4" t="s">
        <v>17</v>
      </c>
      <c r="C446" s="4">
        <v>40528.5</v>
      </c>
      <c r="D446" s="26">
        <v>3865251</v>
      </c>
      <c r="E446" s="5">
        <f>IFERROR(VLOOKUP(J446,Sheet2!C446:F949,2),0)</f>
        <v>23</v>
      </c>
      <c r="F446" s="5">
        <f>IFERROR(VLOOKUP(J446,Sheet2!C446:F949,3),0)</f>
        <v>2531</v>
      </c>
      <c r="G446" s="5">
        <f>IFERROR(VLOOKUP(J446, Sheet2!C446:F949,4),0)</f>
        <v>2296</v>
      </c>
      <c r="H446" s="12">
        <f t="shared" si="18"/>
        <v>168054.39130434784</v>
      </c>
      <c r="I446">
        <f t="shared" si="19"/>
        <v>23</v>
      </c>
      <c r="J446" t="str">
        <f t="shared" si="20"/>
        <v>2020-06-01Казань</v>
      </c>
    </row>
    <row r="447" spans="1:10" ht="14.25" customHeight="1" x14ac:dyDescent="0.3">
      <c r="A447" s="15">
        <v>43962</v>
      </c>
      <c r="B447" s="6" t="s">
        <v>17</v>
      </c>
      <c r="C447" s="6">
        <v>32733</v>
      </c>
      <c r="D447" s="27">
        <v>3079630.5</v>
      </c>
      <c r="E447" s="5">
        <f>IFERROR(VLOOKUP(J447,Sheet2!C447:F950,2),0)</f>
        <v>0</v>
      </c>
      <c r="F447" s="5">
        <f>IFERROR(VLOOKUP(J447,Sheet2!C447:F950,3),0)</f>
        <v>0</v>
      </c>
      <c r="G447" s="5">
        <f>IFERROR(VLOOKUP(J447, Sheet2!C447:F950,4),0)</f>
        <v>0</v>
      </c>
      <c r="H447" s="12">
        <f t="shared" si="18"/>
        <v>0</v>
      </c>
      <c r="I447">
        <f t="shared" si="19"/>
        <v>20</v>
      </c>
      <c r="J447" t="str">
        <f t="shared" si="20"/>
        <v>2020-05-11Казань</v>
      </c>
    </row>
    <row r="448" spans="1:10" ht="14.25" customHeight="1" x14ac:dyDescent="0.3">
      <c r="A448" s="14">
        <v>43980</v>
      </c>
      <c r="B448" s="4" t="s">
        <v>16</v>
      </c>
      <c r="C448" s="4">
        <v>84433.5</v>
      </c>
      <c r="D448" s="26">
        <v>7228395</v>
      </c>
      <c r="E448" s="5">
        <f>IFERROR(VLOOKUP(J448,Sheet2!C448:F951,2),0)</f>
        <v>0</v>
      </c>
      <c r="F448" s="5">
        <f>IFERROR(VLOOKUP(J448,Sheet2!C448:F951,3),0)</f>
        <v>0</v>
      </c>
      <c r="G448" s="5">
        <f>IFERROR(VLOOKUP(J448, Sheet2!C448:F951,4),0)</f>
        <v>0</v>
      </c>
      <c r="H448" s="12">
        <f t="shared" si="18"/>
        <v>0</v>
      </c>
      <c r="I448">
        <f t="shared" si="19"/>
        <v>22</v>
      </c>
      <c r="J448" t="str">
        <f t="shared" si="20"/>
        <v>2020-05-29Волгоград</v>
      </c>
    </row>
    <row r="449" spans="1:10" ht="14.25" customHeight="1" x14ac:dyDescent="0.3">
      <c r="A449" s="15">
        <v>43969</v>
      </c>
      <c r="B449" s="6" t="s">
        <v>17</v>
      </c>
      <c r="C449" s="6">
        <v>36655.5</v>
      </c>
      <c r="D449" s="27">
        <v>3360135</v>
      </c>
      <c r="E449" s="5">
        <f>IFERROR(VLOOKUP(J449,Sheet2!C449:F952,2),0)</f>
        <v>0</v>
      </c>
      <c r="F449" s="5">
        <f>IFERROR(VLOOKUP(J449,Sheet2!C449:F952,3),0)</f>
        <v>0</v>
      </c>
      <c r="G449" s="5">
        <f>IFERROR(VLOOKUP(J449, Sheet2!C449:F952,4),0)</f>
        <v>0</v>
      </c>
      <c r="H449" s="12">
        <f t="shared" si="18"/>
        <v>0</v>
      </c>
      <c r="I449">
        <f t="shared" si="19"/>
        <v>21</v>
      </c>
      <c r="J449" t="str">
        <f t="shared" si="20"/>
        <v>2020-05-18Казань</v>
      </c>
    </row>
    <row r="450" spans="1:10" ht="14.25" customHeight="1" x14ac:dyDescent="0.3">
      <c r="A450" s="14">
        <v>43965</v>
      </c>
      <c r="B450" s="4" t="s">
        <v>17</v>
      </c>
      <c r="C450" s="4">
        <v>33886.5</v>
      </c>
      <c r="D450" s="26">
        <v>3166479</v>
      </c>
      <c r="E450" s="5">
        <f>IFERROR(VLOOKUP(J450,Sheet2!C450:F953,2),0)</f>
        <v>0</v>
      </c>
      <c r="F450" s="5">
        <f>IFERROR(VLOOKUP(J450,Sheet2!C450:F953,3),0)</f>
        <v>0</v>
      </c>
      <c r="G450" s="5">
        <f>IFERROR(VLOOKUP(J450, Sheet2!C450:F953,4),0)</f>
        <v>0</v>
      </c>
      <c r="H450" s="12">
        <f t="shared" si="18"/>
        <v>0</v>
      </c>
      <c r="I450">
        <f t="shared" si="19"/>
        <v>20</v>
      </c>
      <c r="J450" t="str">
        <f t="shared" si="20"/>
        <v>2020-05-14Казань</v>
      </c>
    </row>
    <row r="451" spans="1:10" ht="14.25" customHeight="1" x14ac:dyDescent="0.3">
      <c r="A451" s="15">
        <v>43966</v>
      </c>
      <c r="B451" s="6" t="s">
        <v>17</v>
      </c>
      <c r="C451" s="6">
        <v>41697</v>
      </c>
      <c r="D451" s="27">
        <v>3772258.5</v>
      </c>
      <c r="E451" s="5">
        <f>IFERROR(VLOOKUP(J451,Sheet2!C451:F954,2),0)</f>
        <v>0</v>
      </c>
      <c r="F451" s="5">
        <f>IFERROR(VLOOKUP(J451,Sheet2!C451:F954,3),0)</f>
        <v>0</v>
      </c>
      <c r="G451" s="5">
        <f>IFERROR(VLOOKUP(J451, Sheet2!C451:F954,4),0)</f>
        <v>0</v>
      </c>
      <c r="H451" s="12">
        <f t="shared" ref="H451:H505" si="21">IF(VALUE(E451)&gt;0, D451/VALUE(E451), 0)</f>
        <v>0</v>
      </c>
      <c r="I451">
        <f t="shared" ref="I451:I505" si="22">_xlfn.ISOWEEKNUM(A451)</f>
        <v>20</v>
      </c>
      <c r="J451" t="str">
        <f t="shared" ref="J451:J504" si="23">TEXT(A451,"yyyy-mm-dd") &amp; TRIM(B451)</f>
        <v>2020-05-15Казань</v>
      </c>
    </row>
    <row r="452" spans="1:10" ht="14.25" customHeight="1" x14ac:dyDescent="0.3">
      <c r="A452" s="14">
        <v>43980</v>
      </c>
      <c r="B452" s="4" t="s">
        <v>17</v>
      </c>
      <c r="C452" s="4">
        <v>44569.5</v>
      </c>
      <c r="D452" s="26">
        <v>4108596</v>
      </c>
      <c r="E452" s="5">
        <f>IFERROR(VLOOKUP(J452,Sheet2!C452:F955,2),0)</f>
        <v>0</v>
      </c>
      <c r="F452" s="5">
        <f>IFERROR(VLOOKUP(J452,Sheet2!C452:F955,3),0)</f>
        <v>0</v>
      </c>
      <c r="G452" s="5">
        <f>IFERROR(VLOOKUP(J452, Sheet2!C452:F955,4),0)</f>
        <v>0</v>
      </c>
      <c r="H452" s="12">
        <f t="shared" si="21"/>
        <v>0</v>
      </c>
      <c r="I452">
        <f t="shared" si="22"/>
        <v>22</v>
      </c>
      <c r="J452" t="str">
        <f t="shared" si="23"/>
        <v>2020-05-29Казань</v>
      </c>
    </row>
    <row r="453" spans="1:10" ht="14.25" customHeight="1" x14ac:dyDescent="0.3">
      <c r="A453" s="15">
        <v>43978</v>
      </c>
      <c r="B453" s="6" t="s">
        <v>18</v>
      </c>
      <c r="C453" s="6">
        <v>18069</v>
      </c>
      <c r="D453" s="27">
        <v>1603084.5</v>
      </c>
      <c r="E453" s="5">
        <f>IFERROR(VLOOKUP(J453,Sheet2!C453:F956,2),0)</f>
        <v>0</v>
      </c>
      <c r="F453" s="5">
        <f>IFERROR(VLOOKUP(J453,Sheet2!C453:F956,3),0)</f>
        <v>0</v>
      </c>
      <c r="G453" s="5">
        <f>IFERROR(VLOOKUP(J453, Sheet2!C453:F956,4),0)</f>
        <v>0</v>
      </c>
      <c r="H453" s="12">
        <f t="shared" si="21"/>
        <v>0</v>
      </c>
      <c r="I453">
        <f t="shared" si="22"/>
        <v>22</v>
      </c>
      <c r="J453" t="str">
        <f t="shared" si="23"/>
        <v>2020-05-27Пермь</v>
      </c>
    </row>
    <row r="454" spans="1:10" ht="14.25" customHeight="1" x14ac:dyDescent="0.3">
      <c r="A454" s="14">
        <v>43973</v>
      </c>
      <c r="B454" s="4" t="s">
        <v>18</v>
      </c>
      <c r="C454" s="4">
        <v>21483</v>
      </c>
      <c r="D454" s="26">
        <v>1774329</v>
      </c>
      <c r="E454" s="5">
        <f>IFERROR(VLOOKUP(J454,Sheet2!C454:F957,2),0)</f>
        <v>0</v>
      </c>
      <c r="F454" s="5">
        <f>IFERROR(VLOOKUP(J454,Sheet2!C454:F957,3),0)</f>
        <v>0</v>
      </c>
      <c r="G454" s="5">
        <f>IFERROR(VLOOKUP(J454, Sheet2!C454:F957,4),0)</f>
        <v>0</v>
      </c>
      <c r="H454" s="12">
        <f t="shared" si="21"/>
        <v>0</v>
      </c>
      <c r="I454">
        <f t="shared" si="22"/>
        <v>21</v>
      </c>
      <c r="J454" t="str">
        <f t="shared" si="23"/>
        <v>2020-05-22Пермь</v>
      </c>
    </row>
    <row r="455" spans="1:10" ht="14.25" customHeight="1" x14ac:dyDescent="0.3">
      <c r="A455" s="15">
        <v>43983</v>
      </c>
      <c r="B455" s="6" t="s">
        <v>18</v>
      </c>
      <c r="C455" s="6">
        <v>16687.5</v>
      </c>
      <c r="D455" s="27">
        <v>1526608.5</v>
      </c>
      <c r="E455" s="5">
        <f>IFERROR(VLOOKUP(J455,Sheet2!C455:F958,2),0)</f>
        <v>17</v>
      </c>
      <c r="F455" s="5">
        <f>IFERROR(VLOOKUP(J455,Sheet2!C455:F958,3),0)</f>
        <v>1185</v>
      </c>
      <c r="G455" s="5">
        <f>IFERROR(VLOOKUP(J455, Sheet2!C455:F958,4),0)</f>
        <v>1042</v>
      </c>
      <c r="H455" s="12">
        <f t="shared" si="21"/>
        <v>89800.5</v>
      </c>
      <c r="I455">
        <f t="shared" si="22"/>
        <v>23</v>
      </c>
      <c r="J455" t="str">
        <f t="shared" si="23"/>
        <v>2020-06-01Пермь</v>
      </c>
    </row>
    <row r="456" spans="1:10" ht="14.25" customHeight="1" x14ac:dyDescent="0.3">
      <c r="A456" s="14">
        <v>43962</v>
      </c>
      <c r="B456" s="4" t="s">
        <v>18</v>
      </c>
      <c r="C456" s="4">
        <v>12238.5</v>
      </c>
      <c r="D456" s="26">
        <v>1096002</v>
      </c>
      <c r="E456" s="5">
        <f>IFERROR(VLOOKUP(J456,Sheet2!C456:F959,2),0)</f>
        <v>0</v>
      </c>
      <c r="F456" s="5">
        <f>IFERROR(VLOOKUP(J456,Sheet2!C456:F959,3),0)</f>
        <v>0</v>
      </c>
      <c r="G456" s="5">
        <f>IFERROR(VLOOKUP(J456, Sheet2!C456:F959,4),0)</f>
        <v>0</v>
      </c>
      <c r="H456" s="12">
        <f t="shared" si="21"/>
        <v>0</v>
      </c>
      <c r="I456">
        <f t="shared" si="22"/>
        <v>20</v>
      </c>
      <c r="J456" t="str">
        <f t="shared" si="23"/>
        <v>2020-05-11Пермь</v>
      </c>
    </row>
    <row r="457" spans="1:10" ht="14.25" customHeight="1" x14ac:dyDescent="0.3">
      <c r="A457" s="15">
        <v>43969</v>
      </c>
      <c r="B457" s="6" t="s">
        <v>18</v>
      </c>
      <c r="C457" s="6">
        <v>14290.5</v>
      </c>
      <c r="D457" s="27">
        <v>1246162.5</v>
      </c>
      <c r="E457" s="5">
        <f>IFERROR(VLOOKUP(J457,Sheet2!C457:F960,2),0)</f>
        <v>0</v>
      </c>
      <c r="F457" s="5">
        <f>IFERROR(VLOOKUP(J457,Sheet2!C457:F960,3),0)</f>
        <v>0</v>
      </c>
      <c r="G457" s="5">
        <f>IFERROR(VLOOKUP(J457, Sheet2!C457:F960,4),0)</f>
        <v>0</v>
      </c>
      <c r="H457" s="12">
        <f t="shared" si="21"/>
        <v>0</v>
      </c>
      <c r="I457">
        <f t="shared" si="22"/>
        <v>21</v>
      </c>
      <c r="J457" t="str">
        <f t="shared" si="23"/>
        <v>2020-05-18Пермь</v>
      </c>
    </row>
    <row r="458" spans="1:10" ht="14.25" customHeight="1" x14ac:dyDescent="0.3">
      <c r="A458" s="14">
        <v>43965</v>
      </c>
      <c r="B458" s="4" t="s">
        <v>18</v>
      </c>
      <c r="C458" s="4">
        <v>14385</v>
      </c>
      <c r="D458" s="26">
        <v>1223491.5</v>
      </c>
      <c r="E458" s="5">
        <f>IFERROR(VLOOKUP(J458,Sheet2!C458:F961,2),0)</f>
        <v>0</v>
      </c>
      <c r="F458" s="5">
        <f>IFERROR(VLOOKUP(J458,Sheet2!C458:F961,3),0)</f>
        <v>0</v>
      </c>
      <c r="G458" s="5">
        <f>IFERROR(VLOOKUP(J458, Sheet2!C458:F961,4),0)</f>
        <v>0</v>
      </c>
      <c r="H458" s="12">
        <f t="shared" si="21"/>
        <v>0</v>
      </c>
      <c r="I458">
        <f t="shared" si="22"/>
        <v>20</v>
      </c>
      <c r="J458" t="str">
        <f t="shared" si="23"/>
        <v>2020-05-14Пермь</v>
      </c>
    </row>
    <row r="459" spans="1:10" ht="14.25" customHeight="1" x14ac:dyDescent="0.3">
      <c r="A459" s="15">
        <v>43966</v>
      </c>
      <c r="B459" s="6" t="s">
        <v>18</v>
      </c>
      <c r="C459" s="6">
        <v>16498.5</v>
      </c>
      <c r="D459" s="27">
        <v>1370482.5</v>
      </c>
      <c r="E459" s="5">
        <f>IFERROR(VLOOKUP(J459,Sheet2!C459:F962,2),0)</f>
        <v>0</v>
      </c>
      <c r="F459" s="5">
        <f>IFERROR(VLOOKUP(J459,Sheet2!C459:F962,3),0)</f>
        <v>0</v>
      </c>
      <c r="G459" s="5">
        <f>IFERROR(VLOOKUP(J459, Sheet2!C459:F962,4),0)</f>
        <v>0</v>
      </c>
      <c r="H459" s="12">
        <f t="shared" si="21"/>
        <v>0</v>
      </c>
      <c r="I459">
        <f t="shared" si="22"/>
        <v>20</v>
      </c>
      <c r="J459" t="str">
        <f t="shared" si="23"/>
        <v>2020-05-15Пермь</v>
      </c>
    </row>
    <row r="460" spans="1:10" ht="14.25" customHeight="1" x14ac:dyDescent="0.3">
      <c r="A460" s="14">
        <v>43978</v>
      </c>
      <c r="B460" s="4" t="s">
        <v>19</v>
      </c>
      <c r="C460" s="4">
        <v>13203</v>
      </c>
      <c r="D460" s="26">
        <v>1211457</v>
      </c>
      <c r="E460" s="5">
        <f>IFERROR(VLOOKUP(J460,Sheet2!C460:F963,2),0)</f>
        <v>0</v>
      </c>
      <c r="F460" s="5">
        <f>IFERROR(VLOOKUP(J460,Sheet2!C460:F963,3),0)</f>
        <v>0</v>
      </c>
      <c r="G460" s="5">
        <f>IFERROR(VLOOKUP(J460, Sheet2!C460:F963,4),0)</f>
        <v>0</v>
      </c>
      <c r="H460" s="12">
        <f t="shared" si="21"/>
        <v>0</v>
      </c>
      <c r="I460">
        <f t="shared" si="22"/>
        <v>22</v>
      </c>
      <c r="J460" t="str">
        <f t="shared" si="23"/>
        <v>2020-05-27Ростов-на-Дону</v>
      </c>
    </row>
    <row r="461" spans="1:10" ht="14.25" customHeight="1" x14ac:dyDescent="0.3">
      <c r="A461" s="15">
        <v>43973</v>
      </c>
      <c r="B461" s="6" t="s">
        <v>19</v>
      </c>
      <c r="C461" s="6">
        <v>15802.5</v>
      </c>
      <c r="D461" s="27">
        <v>1411909.5</v>
      </c>
      <c r="E461" s="5">
        <f>IFERROR(VLOOKUP(J461,Sheet2!C461:F964,2),0)</f>
        <v>0</v>
      </c>
      <c r="F461" s="5">
        <f>IFERROR(VLOOKUP(J461,Sheet2!C461:F964,3),0)</f>
        <v>0</v>
      </c>
      <c r="G461" s="5">
        <f>IFERROR(VLOOKUP(J461, Sheet2!C461:F964,4),0)</f>
        <v>0</v>
      </c>
      <c r="H461" s="12">
        <f t="shared" si="21"/>
        <v>0</v>
      </c>
      <c r="I461">
        <f t="shared" si="22"/>
        <v>21</v>
      </c>
      <c r="J461" t="str">
        <f t="shared" si="23"/>
        <v>2020-05-22Ростов-на-Дону</v>
      </c>
    </row>
    <row r="462" spans="1:10" ht="14.25" customHeight="1" x14ac:dyDescent="0.3">
      <c r="A462" s="14">
        <v>43983</v>
      </c>
      <c r="B462" s="4" t="s">
        <v>19</v>
      </c>
      <c r="C462" s="4">
        <v>16476</v>
      </c>
      <c r="D462" s="26">
        <v>1565632.5</v>
      </c>
      <c r="E462" s="5">
        <f>IFERROR(VLOOKUP(J462,Sheet2!C462:F965,2),0)</f>
        <v>16</v>
      </c>
      <c r="F462" s="5">
        <f>IFERROR(VLOOKUP(J462,Sheet2!C462:F965,3),0)</f>
        <v>1019</v>
      </c>
      <c r="G462" s="5">
        <f>IFERROR(VLOOKUP(J462, Sheet2!C462:F965,4),0)</f>
        <v>895</v>
      </c>
      <c r="H462" s="12">
        <f t="shared" si="21"/>
        <v>97852.03125</v>
      </c>
      <c r="I462">
        <f t="shared" si="22"/>
        <v>23</v>
      </c>
      <c r="J462" t="str">
        <f t="shared" si="23"/>
        <v>2020-06-01Ростов-на-Дону</v>
      </c>
    </row>
    <row r="463" spans="1:10" ht="14.25" customHeight="1" x14ac:dyDescent="0.3">
      <c r="A463" s="15">
        <v>43962</v>
      </c>
      <c r="B463" s="6" t="s">
        <v>19</v>
      </c>
      <c r="C463" s="6">
        <v>12654</v>
      </c>
      <c r="D463" s="27">
        <v>1081158</v>
      </c>
      <c r="E463" s="5">
        <f>IFERROR(VLOOKUP(J463,Sheet2!C463:F966,2),0)</f>
        <v>0</v>
      </c>
      <c r="F463" s="5">
        <f>IFERROR(VLOOKUP(J463,Sheet2!C463:F966,3),0)</f>
        <v>0</v>
      </c>
      <c r="G463" s="5">
        <f>IFERROR(VLOOKUP(J463, Sheet2!C463:F966,4),0)</f>
        <v>0</v>
      </c>
      <c r="H463" s="12">
        <f t="shared" si="21"/>
        <v>0</v>
      </c>
      <c r="I463">
        <f t="shared" si="22"/>
        <v>20</v>
      </c>
      <c r="J463" t="str">
        <f t="shared" si="23"/>
        <v>2020-05-11Ростов-на-Дону</v>
      </c>
    </row>
    <row r="464" spans="1:10" ht="14.25" customHeight="1" x14ac:dyDescent="0.3">
      <c r="A464" s="14">
        <v>43980</v>
      </c>
      <c r="B464" s="4" t="s">
        <v>18</v>
      </c>
      <c r="C464" s="4">
        <v>19647</v>
      </c>
      <c r="D464" s="26">
        <v>1764669</v>
      </c>
      <c r="E464" s="5">
        <f>IFERROR(VLOOKUP(J464,Sheet2!C464:F967,2),0)</f>
        <v>0</v>
      </c>
      <c r="F464" s="5">
        <f>IFERROR(VLOOKUP(J464,Sheet2!C464:F967,3),0)</f>
        <v>0</v>
      </c>
      <c r="G464" s="5">
        <f>IFERROR(VLOOKUP(J464, Sheet2!C464:F967,4),0)</f>
        <v>0</v>
      </c>
      <c r="H464" s="12">
        <f t="shared" si="21"/>
        <v>0</v>
      </c>
      <c r="I464">
        <f t="shared" si="22"/>
        <v>22</v>
      </c>
      <c r="J464" t="str">
        <f t="shared" si="23"/>
        <v>2020-05-29Пермь</v>
      </c>
    </row>
    <row r="465" spans="1:10" ht="14.25" customHeight="1" x14ac:dyDescent="0.3">
      <c r="A465" s="15">
        <v>43969</v>
      </c>
      <c r="B465" s="6" t="s">
        <v>19</v>
      </c>
      <c r="C465" s="6">
        <v>12450</v>
      </c>
      <c r="D465" s="27">
        <v>1115146.5</v>
      </c>
      <c r="E465" s="5">
        <f>IFERROR(VLOOKUP(J465,Sheet2!C465:F968,2),0)</f>
        <v>0</v>
      </c>
      <c r="F465" s="5">
        <f>IFERROR(VLOOKUP(J465,Sheet2!C465:F968,3),0)</f>
        <v>0</v>
      </c>
      <c r="G465" s="5">
        <f>IFERROR(VLOOKUP(J465, Sheet2!C465:F968,4),0)</f>
        <v>0</v>
      </c>
      <c r="H465" s="12">
        <f t="shared" si="21"/>
        <v>0</v>
      </c>
      <c r="I465">
        <f t="shared" si="22"/>
        <v>21</v>
      </c>
      <c r="J465" t="str">
        <f t="shared" si="23"/>
        <v>2020-05-18Ростов-на-Дону</v>
      </c>
    </row>
    <row r="466" spans="1:10" ht="14.25" customHeight="1" x14ac:dyDescent="0.3">
      <c r="A466" s="14">
        <v>43965</v>
      </c>
      <c r="B466" s="4" t="s">
        <v>19</v>
      </c>
      <c r="C466" s="4">
        <v>11161.5</v>
      </c>
      <c r="D466" s="26">
        <v>963502.5</v>
      </c>
      <c r="E466" s="5">
        <f>IFERROR(VLOOKUP(J466,Sheet2!C466:F969,2),0)</f>
        <v>0</v>
      </c>
      <c r="F466" s="5">
        <f>IFERROR(VLOOKUP(J466,Sheet2!C466:F969,3),0)</f>
        <v>0</v>
      </c>
      <c r="G466" s="5">
        <f>IFERROR(VLOOKUP(J466, Sheet2!C466:F969,4),0)</f>
        <v>0</v>
      </c>
      <c r="H466" s="12">
        <f t="shared" si="21"/>
        <v>0</v>
      </c>
      <c r="I466">
        <f t="shared" si="22"/>
        <v>20</v>
      </c>
      <c r="J466" t="str">
        <f t="shared" si="23"/>
        <v>2020-05-14Ростов-на-Дону</v>
      </c>
    </row>
    <row r="467" spans="1:10" ht="14.25" customHeight="1" x14ac:dyDescent="0.3">
      <c r="A467" s="15">
        <v>43966</v>
      </c>
      <c r="B467" s="6" t="s">
        <v>19</v>
      </c>
      <c r="C467" s="6">
        <v>12229.5</v>
      </c>
      <c r="D467" s="27">
        <v>1122730.5</v>
      </c>
      <c r="E467" s="5">
        <f>IFERROR(VLOOKUP(J467,Sheet2!C467:F970,2),0)</f>
        <v>0</v>
      </c>
      <c r="F467" s="5">
        <f>IFERROR(VLOOKUP(J467,Sheet2!C467:F970,3),0)</f>
        <v>0</v>
      </c>
      <c r="G467" s="5">
        <f>IFERROR(VLOOKUP(J467, Sheet2!C467:F970,4),0)</f>
        <v>0</v>
      </c>
      <c r="H467" s="12">
        <f t="shared" si="21"/>
        <v>0</v>
      </c>
      <c r="I467">
        <f t="shared" si="22"/>
        <v>20</v>
      </c>
      <c r="J467" t="str">
        <f t="shared" si="23"/>
        <v>2020-05-15Ростов-на-Дону</v>
      </c>
    </row>
    <row r="468" spans="1:10" ht="14.25" customHeight="1" x14ac:dyDescent="0.3">
      <c r="A468" s="14">
        <v>43978</v>
      </c>
      <c r="B468" s="4" t="s">
        <v>20</v>
      </c>
      <c r="C468" s="4">
        <v>28050</v>
      </c>
      <c r="D468" s="26">
        <v>2458555.5</v>
      </c>
      <c r="E468" s="5">
        <f>IFERROR(VLOOKUP(J468,Sheet2!C468:F971,2),0)</f>
        <v>0</v>
      </c>
      <c r="F468" s="5">
        <f>IFERROR(VLOOKUP(J468,Sheet2!C468:F971,3),0)</f>
        <v>0</v>
      </c>
      <c r="G468" s="5">
        <f>IFERROR(VLOOKUP(J468, Sheet2!C468:F971,4),0)</f>
        <v>0</v>
      </c>
      <c r="H468" s="12">
        <f t="shared" si="21"/>
        <v>0</v>
      </c>
      <c r="I468">
        <f t="shared" si="22"/>
        <v>22</v>
      </c>
      <c r="J468" t="str">
        <f t="shared" si="23"/>
        <v>2020-05-27Краснодар</v>
      </c>
    </row>
    <row r="469" spans="1:10" ht="14.25" customHeight="1" x14ac:dyDescent="0.3">
      <c r="A469" s="15">
        <v>43973</v>
      </c>
      <c r="B469" s="6" t="s">
        <v>20</v>
      </c>
      <c r="C469" s="6">
        <v>30781.5</v>
      </c>
      <c r="D469" s="27">
        <v>2540715</v>
      </c>
      <c r="E469" s="5">
        <f>IFERROR(VLOOKUP(J469,Sheet2!C469:F972,2),0)</f>
        <v>0</v>
      </c>
      <c r="F469" s="5">
        <f>IFERROR(VLOOKUP(J469,Sheet2!C469:F972,3),0)</f>
        <v>0</v>
      </c>
      <c r="G469" s="5">
        <f>IFERROR(VLOOKUP(J469, Sheet2!C469:F972,4),0)</f>
        <v>0</v>
      </c>
      <c r="H469" s="12">
        <f t="shared" si="21"/>
        <v>0</v>
      </c>
      <c r="I469">
        <f t="shared" si="22"/>
        <v>21</v>
      </c>
      <c r="J469" t="str">
        <f t="shared" si="23"/>
        <v>2020-05-22Краснодар</v>
      </c>
    </row>
    <row r="470" spans="1:10" ht="14.25" customHeight="1" x14ac:dyDescent="0.3">
      <c r="A470" s="14">
        <v>43983</v>
      </c>
      <c r="B470" s="4" t="s">
        <v>20</v>
      </c>
      <c r="C470" s="4">
        <v>27960</v>
      </c>
      <c r="D470" s="26">
        <v>2538967.5</v>
      </c>
      <c r="E470" s="5">
        <f>IFERROR(VLOOKUP(J470,Sheet2!C470:F973,2),0)</f>
        <v>21</v>
      </c>
      <c r="F470" s="5">
        <f>IFERROR(VLOOKUP(J470,Sheet2!C470:F973,3),0)</f>
        <v>1879</v>
      </c>
      <c r="G470" s="5">
        <f>IFERROR(VLOOKUP(J470, Sheet2!C470:F973,4),0)</f>
        <v>1720</v>
      </c>
      <c r="H470" s="12">
        <f t="shared" si="21"/>
        <v>120903.21428571429</v>
      </c>
      <c r="I470">
        <f t="shared" si="22"/>
        <v>23</v>
      </c>
      <c r="J470" t="str">
        <f t="shared" si="23"/>
        <v>2020-06-01Краснодар</v>
      </c>
    </row>
    <row r="471" spans="1:10" ht="14.25" customHeight="1" x14ac:dyDescent="0.3">
      <c r="A471" s="15">
        <v>43962</v>
      </c>
      <c r="B471" s="6" t="s">
        <v>20</v>
      </c>
      <c r="C471" s="6">
        <v>23629.5</v>
      </c>
      <c r="D471" s="27">
        <v>2164365</v>
      </c>
      <c r="E471" s="5">
        <f>IFERROR(VLOOKUP(J471,Sheet2!C471:F974,2),0)</f>
        <v>0</v>
      </c>
      <c r="F471" s="5">
        <f>IFERROR(VLOOKUP(J471,Sheet2!C471:F974,3),0)</f>
        <v>0</v>
      </c>
      <c r="G471" s="5">
        <f>IFERROR(VLOOKUP(J471, Sheet2!C471:F974,4),0)</f>
        <v>0</v>
      </c>
      <c r="H471" s="12">
        <f t="shared" si="21"/>
        <v>0</v>
      </c>
      <c r="I471">
        <f t="shared" si="22"/>
        <v>20</v>
      </c>
      <c r="J471" t="str">
        <f t="shared" si="23"/>
        <v>2020-05-11Краснодар</v>
      </c>
    </row>
    <row r="472" spans="1:10" ht="14.25" customHeight="1" x14ac:dyDescent="0.3">
      <c r="A472" s="14">
        <v>43980</v>
      </c>
      <c r="B472" s="4" t="s">
        <v>19</v>
      </c>
      <c r="C472" s="4">
        <v>17052</v>
      </c>
      <c r="D472" s="26">
        <v>1549020</v>
      </c>
      <c r="E472" s="5">
        <f>IFERROR(VLOOKUP(J472,Sheet2!C472:F975,2),0)</f>
        <v>0</v>
      </c>
      <c r="F472" s="5">
        <f>IFERROR(VLOOKUP(J472,Sheet2!C472:F975,3),0)</f>
        <v>0</v>
      </c>
      <c r="G472" s="5">
        <f>IFERROR(VLOOKUP(J472, Sheet2!C472:F975,4),0)</f>
        <v>0</v>
      </c>
      <c r="H472" s="12">
        <f t="shared" si="21"/>
        <v>0</v>
      </c>
      <c r="I472">
        <f t="shared" si="22"/>
        <v>22</v>
      </c>
      <c r="J472" t="str">
        <f t="shared" si="23"/>
        <v>2020-05-29Ростов-на-Дону</v>
      </c>
    </row>
    <row r="473" spans="1:10" ht="14.25" customHeight="1" x14ac:dyDescent="0.3">
      <c r="A473" s="15">
        <v>43969</v>
      </c>
      <c r="B473" s="6" t="s">
        <v>20</v>
      </c>
      <c r="C473" s="6">
        <v>27181.5</v>
      </c>
      <c r="D473" s="27">
        <v>2324490</v>
      </c>
      <c r="E473" s="5">
        <f>IFERROR(VLOOKUP(J473,Sheet2!C473:F976,2),0)</f>
        <v>0</v>
      </c>
      <c r="F473" s="5">
        <f>IFERROR(VLOOKUP(J473,Sheet2!C473:F976,3),0)</f>
        <v>0</v>
      </c>
      <c r="G473" s="5">
        <f>IFERROR(VLOOKUP(J473, Sheet2!C473:F976,4),0)</f>
        <v>0</v>
      </c>
      <c r="H473" s="12">
        <f t="shared" si="21"/>
        <v>0</v>
      </c>
      <c r="I473">
        <f t="shared" si="22"/>
        <v>21</v>
      </c>
      <c r="J473" t="str">
        <f t="shared" si="23"/>
        <v>2020-05-18Краснодар</v>
      </c>
    </row>
    <row r="474" spans="1:10" ht="14.25" customHeight="1" x14ac:dyDescent="0.3">
      <c r="A474" s="14">
        <v>43965</v>
      </c>
      <c r="B474" s="4" t="s">
        <v>20</v>
      </c>
      <c r="C474" s="4">
        <v>25656</v>
      </c>
      <c r="D474" s="26">
        <v>2225341.5</v>
      </c>
      <c r="E474" s="5">
        <f>IFERROR(VLOOKUP(J474,Sheet2!C474:F977,2),0)</f>
        <v>0</v>
      </c>
      <c r="F474" s="5">
        <f>IFERROR(VLOOKUP(J474,Sheet2!C474:F977,3),0)</f>
        <v>0</v>
      </c>
      <c r="G474" s="5">
        <f>IFERROR(VLOOKUP(J474, Sheet2!C474:F977,4),0)</f>
        <v>0</v>
      </c>
      <c r="H474" s="12">
        <f t="shared" si="21"/>
        <v>0</v>
      </c>
      <c r="I474">
        <f t="shared" si="22"/>
        <v>20</v>
      </c>
      <c r="J474" t="str">
        <f t="shared" si="23"/>
        <v>2020-05-14Краснодар</v>
      </c>
    </row>
    <row r="475" spans="1:10" ht="14.25" customHeight="1" x14ac:dyDescent="0.3">
      <c r="A475" s="15">
        <v>43966</v>
      </c>
      <c r="B475" s="6" t="s">
        <v>20</v>
      </c>
      <c r="C475" s="6">
        <v>29283</v>
      </c>
      <c r="D475" s="27">
        <v>2477487</v>
      </c>
      <c r="E475" s="5">
        <f>IFERROR(VLOOKUP(J475,Sheet2!C475:F978,2),0)</f>
        <v>0</v>
      </c>
      <c r="F475" s="5">
        <f>IFERROR(VLOOKUP(J475,Sheet2!C475:F978,3),0)</f>
        <v>0</v>
      </c>
      <c r="G475" s="5">
        <f>IFERROR(VLOOKUP(J475, Sheet2!C475:F978,4),0)</f>
        <v>0</v>
      </c>
      <c r="H475" s="12">
        <f t="shared" si="21"/>
        <v>0</v>
      </c>
      <c r="I475">
        <f t="shared" si="22"/>
        <v>20</v>
      </c>
      <c r="J475" t="str">
        <f t="shared" si="23"/>
        <v>2020-05-15Краснодар</v>
      </c>
    </row>
    <row r="476" spans="1:10" ht="14.25" customHeight="1" x14ac:dyDescent="0.3">
      <c r="A476" s="14">
        <v>43980</v>
      </c>
      <c r="B476" s="4" t="s">
        <v>20</v>
      </c>
      <c r="C476" s="4">
        <v>32782.5</v>
      </c>
      <c r="D476" s="26">
        <v>2854741.5</v>
      </c>
      <c r="E476" s="5">
        <f>IFERROR(VLOOKUP(J476,Sheet2!C476:F979,2),0)</f>
        <v>0</v>
      </c>
      <c r="F476" s="5">
        <f>IFERROR(VLOOKUP(J476,Sheet2!C476:F979,3),0)</f>
        <v>0</v>
      </c>
      <c r="G476" s="5">
        <f>IFERROR(VLOOKUP(J476, Sheet2!C476:F979,4),0)</f>
        <v>0</v>
      </c>
      <c r="H476" s="12">
        <f t="shared" si="21"/>
        <v>0</v>
      </c>
      <c r="I476">
        <f t="shared" si="22"/>
        <v>22</v>
      </c>
      <c r="J476" t="str">
        <f t="shared" si="23"/>
        <v>2020-05-29Краснодар</v>
      </c>
    </row>
    <row r="477" spans="1:10" ht="14.25" customHeight="1" x14ac:dyDescent="0.3">
      <c r="A477" s="15">
        <v>43978</v>
      </c>
      <c r="B477" s="6" t="s">
        <v>21</v>
      </c>
      <c r="C477" s="6">
        <v>215592</v>
      </c>
      <c r="D477" s="27">
        <v>22342300.5</v>
      </c>
      <c r="E477" s="5">
        <f>IFERROR(VLOOKUP(J477,Sheet2!C477:F980,2),0)</f>
        <v>0</v>
      </c>
      <c r="F477" s="5">
        <f>IFERROR(VLOOKUP(J477,Sheet2!C477:F980,3),0)</f>
        <v>0</v>
      </c>
      <c r="G477" s="5">
        <f>IFERROR(VLOOKUP(J477, Sheet2!C477:F980,4),0)</f>
        <v>0</v>
      </c>
      <c r="H477" s="12">
        <f t="shared" si="21"/>
        <v>0</v>
      </c>
      <c r="I477">
        <f t="shared" si="22"/>
        <v>22</v>
      </c>
      <c r="J477" t="str">
        <f t="shared" si="23"/>
        <v>2020-05-27Москва Запад</v>
      </c>
    </row>
    <row r="478" spans="1:10" ht="14.25" customHeight="1" x14ac:dyDescent="0.3">
      <c r="A478" s="14">
        <v>43973</v>
      </c>
      <c r="B478" s="4" t="s">
        <v>21</v>
      </c>
      <c r="C478" s="4">
        <v>228334.5</v>
      </c>
      <c r="D478" s="26">
        <v>22380772.5</v>
      </c>
      <c r="E478" s="5">
        <f>IFERROR(VLOOKUP(J478,Sheet2!C478:F981,2),0)</f>
        <v>0</v>
      </c>
      <c r="F478" s="5">
        <f>IFERROR(VLOOKUP(J478,Sheet2!C478:F981,3),0)</f>
        <v>0</v>
      </c>
      <c r="G478" s="5">
        <f>IFERROR(VLOOKUP(J478, Sheet2!C478:F981,4),0)</f>
        <v>0</v>
      </c>
      <c r="H478" s="12">
        <f t="shared" si="21"/>
        <v>0</v>
      </c>
      <c r="I478">
        <f t="shared" si="22"/>
        <v>21</v>
      </c>
      <c r="J478" t="str">
        <f t="shared" si="23"/>
        <v>2020-05-22Москва Запад</v>
      </c>
    </row>
    <row r="479" spans="1:10" ht="14.25" customHeight="1" x14ac:dyDescent="0.3">
      <c r="A479" s="15">
        <v>43983</v>
      </c>
      <c r="B479" s="6" t="s">
        <v>21</v>
      </c>
      <c r="C479" s="6">
        <v>188776.5</v>
      </c>
      <c r="D479" s="27">
        <v>19465372.5</v>
      </c>
      <c r="E479" s="5">
        <f>IFERROR(VLOOKUP(J479,Sheet2!C479:F982,2),0)</f>
        <v>59</v>
      </c>
      <c r="F479" s="5">
        <f>IFERROR(VLOOKUP(J479,Sheet2!C479:F982,3),0)</f>
        <v>12299</v>
      </c>
      <c r="G479" s="5">
        <f>IFERROR(VLOOKUP(J479, Sheet2!C479:F982,4),0)</f>
        <v>11448</v>
      </c>
      <c r="H479" s="12">
        <f t="shared" si="21"/>
        <v>329921.56779661018</v>
      </c>
      <c r="I479">
        <f t="shared" si="22"/>
        <v>23</v>
      </c>
      <c r="J479" t="str">
        <f t="shared" si="23"/>
        <v>2020-06-01Москва Запад</v>
      </c>
    </row>
    <row r="480" spans="1:10" ht="14.25" customHeight="1" x14ac:dyDescent="0.3">
      <c r="A480" s="14">
        <v>43962</v>
      </c>
      <c r="B480" s="4" t="s">
        <v>21</v>
      </c>
      <c r="C480" s="4">
        <v>175293</v>
      </c>
      <c r="D480" s="26">
        <v>17919144</v>
      </c>
      <c r="E480" s="5">
        <f>IFERROR(VLOOKUP(J480,Sheet2!C480:F983,2),0)</f>
        <v>0</v>
      </c>
      <c r="F480" s="5">
        <f>IFERROR(VLOOKUP(J480,Sheet2!C480:F983,3),0)</f>
        <v>0</v>
      </c>
      <c r="G480" s="5">
        <f>IFERROR(VLOOKUP(J480, Sheet2!C480:F983,4),0)</f>
        <v>0</v>
      </c>
      <c r="H480" s="12">
        <f t="shared" si="21"/>
        <v>0</v>
      </c>
      <c r="I480">
        <f t="shared" si="22"/>
        <v>20</v>
      </c>
      <c r="J480" t="str">
        <f t="shared" si="23"/>
        <v>2020-05-11Москва Запад</v>
      </c>
    </row>
    <row r="481" spans="1:10" ht="14.25" customHeight="1" x14ac:dyDescent="0.3">
      <c r="A481" s="15">
        <v>43969</v>
      </c>
      <c r="B481" s="6" t="s">
        <v>21</v>
      </c>
      <c r="C481" s="6">
        <v>201999</v>
      </c>
      <c r="D481" s="27">
        <v>20422435.5</v>
      </c>
      <c r="E481" s="5">
        <f>IFERROR(VLOOKUP(J481,Sheet2!C481:F984,2),0)</f>
        <v>0</v>
      </c>
      <c r="F481" s="5">
        <f>IFERROR(VLOOKUP(J481,Sheet2!C481:F984,3),0)</f>
        <v>0</v>
      </c>
      <c r="G481" s="5">
        <f>IFERROR(VLOOKUP(J481, Sheet2!C481:F984,4),0)</f>
        <v>0</v>
      </c>
      <c r="H481" s="12">
        <f t="shared" si="21"/>
        <v>0</v>
      </c>
      <c r="I481">
        <f t="shared" si="22"/>
        <v>21</v>
      </c>
      <c r="J481" t="str">
        <f t="shared" si="23"/>
        <v>2020-05-18Москва Запад</v>
      </c>
    </row>
    <row r="482" spans="1:10" ht="14.25" customHeight="1" x14ac:dyDescent="0.3">
      <c r="A482" s="14">
        <v>43965</v>
      </c>
      <c r="B482" s="4" t="s">
        <v>21</v>
      </c>
      <c r="C482" s="4">
        <v>197946</v>
      </c>
      <c r="D482" s="26">
        <v>19942435.5</v>
      </c>
      <c r="E482" s="5">
        <f>IFERROR(VLOOKUP(J482,Sheet2!C482:F985,2),0)</f>
        <v>0</v>
      </c>
      <c r="F482" s="5">
        <f>IFERROR(VLOOKUP(J482,Sheet2!C482:F985,3),0)</f>
        <v>0</v>
      </c>
      <c r="G482" s="5">
        <f>IFERROR(VLOOKUP(J482, Sheet2!C482:F985,4),0)</f>
        <v>0</v>
      </c>
      <c r="H482" s="12">
        <f t="shared" si="21"/>
        <v>0</v>
      </c>
      <c r="I482">
        <f t="shared" si="22"/>
        <v>20</v>
      </c>
      <c r="J482" t="str">
        <f t="shared" si="23"/>
        <v>2020-05-14Москва Запад</v>
      </c>
    </row>
    <row r="483" spans="1:10" ht="14.25" customHeight="1" x14ac:dyDescent="0.3">
      <c r="A483" s="15">
        <v>43966</v>
      </c>
      <c r="B483" s="6" t="s">
        <v>21</v>
      </c>
      <c r="C483" s="6">
        <v>230896.5</v>
      </c>
      <c r="D483" s="27">
        <v>23085222</v>
      </c>
      <c r="E483" s="5">
        <f>IFERROR(VLOOKUP(J483,Sheet2!C483:F986,2),0)</f>
        <v>0</v>
      </c>
      <c r="F483" s="5">
        <f>IFERROR(VLOOKUP(J483,Sheet2!C483:F986,3),0)</f>
        <v>0</v>
      </c>
      <c r="G483" s="5">
        <f>IFERROR(VLOOKUP(J483, Sheet2!C483:F986,4),0)</f>
        <v>0</v>
      </c>
      <c r="H483" s="12">
        <f t="shared" si="21"/>
        <v>0</v>
      </c>
      <c r="I483">
        <f t="shared" si="22"/>
        <v>20</v>
      </c>
      <c r="J483" t="str">
        <f t="shared" si="23"/>
        <v>2020-05-15Москва Запад</v>
      </c>
    </row>
    <row r="484" spans="1:10" ht="14.25" customHeight="1" x14ac:dyDescent="0.3">
      <c r="A484" s="14">
        <v>43978</v>
      </c>
      <c r="B484" s="4" t="s">
        <v>22</v>
      </c>
      <c r="C484" s="4">
        <v>203532</v>
      </c>
      <c r="D484" s="26">
        <v>20953324.5</v>
      </c>
      <c r="E484" s="5">
        <f>IFERROR(VLOOKUP(J484,Sheet2!C484:F987,2),0)</f>
        <v>0</v>
      </c>
      <c r="F484" s="5">
        <f>IFERROR(VLOOKUP(J484,Sheet2!C484:F987,3),0)</f>
        <v>0</v>
      </c>
      <c r="G484" s="5">
        <f>IFERROR(VLOOKUP(J484, Sheet2!C484:F987,4),0)</f>
        <v>0</v>
      </c>
      <c r="H484" s="12">
        <f t="shared" si="21"/>
        <v>0</v>
      </c>
      <c r="I484">
        <f t="shared" si="22"/>
        <v>22</v>
      </c>
      <c r="J484" t="str">
        <f t="shared" si="23"/>
        <v>2020-05-27Москва Восток</v>
      </c>
    </row>
    <row r="485" spans="1:10" ht="14.25" customHeight="1" x14ac:dyDescent="0.3">
      <c r="A485" s="15">
        <v>43973</v>
      </c>
      <c r="B485" s="6" t="s">
        <v>22</v>
      </c>
      <c r="C485" s="6">
        <v>214428</v>
      </c>
      <c r="D485" s="27">
        <v>20812585.5</v>
      </c>
      <c r="E485" s="5">
        <f>IFERROR(VLOOKUP(J485,Sheet2!C485:F988,2),0)</f>
        <v>0</v>
      </c>
      <c r="F485" s="5">
        <f>IFERROR(VLOOKUP(J485,Sheet2!C485:F988,3),0)</f>
        <v>0</v>
      </c>
      <c r="G485" s="5">
        <f>IFERROR(VLOOKUP(J485, Sheet2!C485:F988,4),0)</f>
        <v>0</v>
      </c>
      <c r="H485" s="12">
        <f t="shared" si="21"/>
        <v>0</v>
      </c>
      <c r="I485">
        <f t="shared" si="22"/>
        <v>21</v>
      </c>
      <c r="J485" t="str">
        <f t="shared" si="23"/>
        <v>2020-05-22Москва Восток</v>
      </c>
    </row>
    <row r="486" spans="1:10" ht="14.25" customHeight="1" x14ac:dyDescent="0.3">
      <c r="A486" s="14">
        <v>43983</v>
      </c>
      <c r="B486" s="4" t="s">
        <v>22</v>
      </c>
      <c r="C486" s="4">
        <v>183228</v>
      </c>
      <c r="D486" s="26">
        <v>18914194.5</v>
      </c>
      <c r="E486" s="5">
        <f>IFERROR(VLOOKUP(J486,Sheet2!C486:F989,2),0)</f>
        <v>54</v>
      </c>
      <c r="F486" s="5">
        <f>IFERROR(VLOOKUP(J486,Sheet2!C486:F989,3),0)</f>
        <v>11864</v>
      </c>
      <c r="G486" s="5">
        <f>IFERROR(VLOOKUP(J486, Sheet2!C486:F989,4),0)</f>
        <v>11071</v>
      </c>
      <c r="H486" s="12">
        <f t="shared" si="21"/>
        <v>350262.86111111112</v>
      </c>
      <c r="I486">
        <f t="shared" si="22"/>
        <v>23</v>
      </c>
      <c r="J486" t="str">
        <f t="shared" si="23"/>
        <v>2020-06-01Москва Восток</v>
      </c>
    </row>
    <row r="487" spans="1:10" ht="14.25" customHeight="1" x14ac:dyDescent="0.3">
      <c r="A487" s="15">
        <v>43962</v>
      </c>
      <c r="B487" s="6" t="s">
        <v>22</v>
      </c>
      <c r="C487" s="6">
        <v>166948.5</v>
      </c>
      <c r="D487" s="27">
        <v>16971231</v>
      </c>
      <c r="E487" s="5">
        <f>IFERROR(VLOOKUP(J487,Sheet2!C487:F990,2),0)</f>
        <v>0</v>
      </c>
      <c r="F487" s="5">
        <f>IFERROR(VLOOKUP(J487,Sheet2!C487:F990,3),0)</f>
        <v>0</v>
      </c>
      <c r="G487" s="5">
        <f>IFERROR(VLOOKUP(J487, Sheet2!C487:F990,4),0)</f>
        <v>0</v>
      </c>
      <c r="H487" s="12">
        <f t="shared" si="21"/>
        <v>0</v>
      </c>
      <c r="I487">
        <f t="shared" si="22"/>
        <v>20</v>
      </c>
      <c r="J487" t="str">
        <f t="shared" si="23"/>
        <v>2020-05-11Москва Восток</v>
      </c>
    </row>
    <row r="488" spans="1:10" ht="14.25" customHeight="1" x14ac:dyDescent="0.3">
      <c r="A488" s="14">
        <v>43980</v>
      </c>
      <c r="B488" s="4" t="s">
        <v>21</v>
      </c>
      <c r="C488" s="4">
        <v>232102.5</v>
      </c>
      <c r="D488" s="26">
        <v>23120443.5</v>
      </c>
      <c r="E488" s="5">
        <f>IFERROR(VLOOKUP(J488,Sheet2!C488:F991,2),0)</f>
        <v>0</v>
      </c>
      <c r="F488" s="5">
        <f>IFERROR(VLOOKUP(J488,Sheet2!C488:F991,3),0)</f>
        <v>0</v>
      </c>
      <c r="G488" s="5">
        <f>IFERROR(VLOOKUP(J488, Sheet2!C488:F991,4),0)</f>
        <v>0</v>
      </c>
      <c r="H488" s="12">
        <f t="shared" si="21"/>
        <v>0</v>
      </c>
      <c r="I488">
        <f t="shared" si="22"/>
        <v>22</v>
      </c>
      <c r="J488" t="str">
        <f t="shared" si="23"/>
        <v>2020-05-29Москва Запад</v>
      </c>
    </row>
    <row r="489" spans="1:10" ht="14.25" customHeight="1" x14ac:dyDescent="0.3">
      <c r="A489" s="15">
        <v>43969</v>
      </c>
      <c r="B489" s="6" t="s">
        <v>22</v>
      </c>
      <c r="C489" s="6">
        <v>196560</v>
      </c>
      <c r="D489" s="27">
        <v>19855122</v>
      </c>
      <c r="E489" s="5">
        <f>IFERROR(VLOOKUP(J489,Sheet2!C489:F992,2),0)</f>
        <v>0</v>
      </c>
      <c r="F489" s="5">
        <f>IFERROR(VLOOKUP(J489,Sheet2!C489:F992,3),0)</f>
        <v>0</v>
      </c>
      <c r="G489" s="5">
        <f>IFERROR(VLOOKUP(J489, Sheet2!C489:F992,4),0)</f>
        <v>0</v>
      </c>
      <c r="H489" s="12">
        <f t="shared" si="21"/>
        <v>0</v>
      </c>
      <c r="I489">
        <f t="shared" si="22"/>
        <v>21</v>
      </c>
      <c r="J489" t="str">
        <f t="shared" si="23"/>
        <v>2020-05-18Москва Восток</v>
      </c>
    </row>
    <row r="490" spans="1:10" ht="14.25" customHeight="1" x14ac:dyDescent="0.3">
      <c r="A490" s="14">
        <v>43965</v>
      </c>
      <c r="B490" s="4" t="s">
        <v>22</v>
      </c>
      <c r="C490" s="4">
        <v>186496.5</v>
      </c>
      <c r="D490" s="26">
        <v>18640998</v>
      </c>
      <c r="E490" s="5">
        <f>IFERROR(VLOOKUP(J490,Sheet2!C490:F993,2),0)</f>
        <v>0</v>
      </c>
      <c r="F490" s="5">
        <f>IFERROR(VLOOKUP(J490,Sheet2!C490:F993,3),0)</f>
        <v>0</v>
      </c>
      <c r="G490" s="5">
        <f>IFERROR(VLOOKUP(J490, Sheet2!C490:F993,4),0)</f>
        <v>0</v>
      </c>
      <c r="H490" s="12">
        <f t="shared" si="21"/>
        <v>0</v>
      </c>
      <c r="I490">
        <f t="shared" si="22"/>
        <v>20</v>
      </c>
      <c r="J490" t="str">
        <f t="shared" si="23"/>
        <v>2020-05-14Москва Восток</v>
      </c>
    </row>
    <row r="491" spans="1:10" ht="14.25" customHeight="1" x14ac:dyDescent="0.3">
      <c r="A491" s="15">
        <v>43966</v>
      </c>
      <c r="B491" s="6" t="s">
        <v>22</v>
      </c>
      <c r="C491" s="6">
        <v>219772.5</v>
      </c>
      <c r="D491" s="27">
        <v>21895294.5</v>
      </c>
      <c r="E491" s="5">
        <f>IFERROR(VLOOKUP(J491,Sheet2!C491:F994,2),0)</f>
        <v>0</v>
      </c>
      <c r="F491" s="5">
        <f>IFERROR(VLOOKUP(J491,Sheet2!C491:F994,3),0)</f>
        <v>0</v>
      </c>
      <c r="G491" s="5">
        <f>IFERROR(VLOOKUP(J491, Sheet2!C491:F994,4),0)</f>
        <v>0</v>
      </c>
      <c r="H491" s="12">
        <f t="shared" si="21"/>
        <v>0</v>
      </c>
      <c r="I491">
        <f t="shared" si="22"/>
        <v>20</v>
      </c>
      <c r="J491" t="str">
        <f t="shared" si="23"/>
        <v>2020-05-15Москва Восток</v>
      </c>
    </row>
    <row r="492" spans="1:10" ht="14.25" customHeight="1" x14ac:dyDescent="0.3">
      <c r="A492" s="14">
        <v>43980</v>
      </c>
      <c r="B492" s="4" t="s">
        <v>22</v>
      </c>
      <c r="C492" s="4">
        <v>226476</v>
      </c>
      <c r="D492" s="26">
        <v>22416151.5</v>
      </c>
      <c r="E492" s="5">
        <f>IFERROR(VLOOKUP(J492,Sheet2!C492:F995,2),0)</f>
        <v>0</v>
      </c>
      <c r="F492" s="5">
        <f>IFERROR(VLOOKUP(J492,Sheet2!C492:F995,3),0)</f>
        <v>0</v>
      </c>
      <c r="G492" s="5">
        <f>IFERROR(VLOOKUP(J492, Sheet2!C492:F995,4),0)</f>
        <v>0</v>
      </c>
      <c r="H492" s="12">
        <f t="shared" si="21"/>
        <v>0</v>
      </c>
      <c r="I492">
        <f t="shared" si="22"/>
        <v>22</v>
      </c>
      <c r="J492" t="str">
        <f t="shared" si="23"/>
        <v>2020-05-29Москва Восток</v>
      </c>
    </row>
    <row r="493" spans="1:10" ht="14.25" customHeight="1" x14ac:dyDescent="0.3">
      <c r="A493" s="15">
        <v>43978</v>
      </c>
      <c r="B493" s="6" t="s">
        <v>24</v>
      </c>
      <c r="C493" s="6">
        <v>8362.5</v>
      </c>
      <c r="D493" s="27">
        <v>687684</v>
      </c>
      <c r="E493" s="5">
        <f>IFERROR(VLOOKUP(J493,Sheet2!C493:F996,2),0)</f>
        <v>0</v>
      </c>
      <c r="F493" s="5">
        <f>IFERROR(VLOOKUP(J493,Sheet2!C493:F996,3),0)</f>
        <v>0</v>
      </c>
      <c r="G493" s="5">
        <f>IFERROR(VLOOKUP(J493, Sheet2!C493:F996,4),0)</f>
        <v>0</v>
      </c>
      <c r="H493" s="12">
        <f t="shared" si="21"/>
        <v>0</v>
      </c>
      <c r="I493">
        <f t="shared" si="22"/>
        <v>22</v>
      </c>
      <c r="J493" t="str">
        <f t="shared" si="23"/>
        <v>2020-05-27Тюмень</v>
      </c>
    </row>
    <row r="494" spans="1:10" ht="14.25" customHeight="1" x14ac:dyDescent="0.3">
      <c r="A494" s="14">
        <v>43973</v>
      </c>
      <c r="B494" s="4" t="s">
        <v>23</v>
      </c>
      <c r="C494" s="4">
        <v>17008.5</v>
      </c>
      <c r="D494" s="26">
        <v>1398771</v>
      </c>
      <c r="E494" s="5">
        <f>IFERROR(VLOOKUP(J494,Sheet2!C494:F997,2),0)</f>
        <v>0</v>
      </c>
      <c r="F494" s="5">
        <f>IFERROR(VLOOKUP(J494,Sheet2!C494:F997,3),0)</f>
        <v>0</v>
      </c>
      <c r="G494" s="5">
        <f>IFERROR(VLOOKUP(J494, Sheet2!C494:F997,4),0)</f>
        <v>0</v>
      </c>
      <c r="H494" s="12">
        <f t="shared" si="21"/>
        <v>0</v>
      </c>
      <c r="I494">
        <f t="shared" si="22"/>
        <v>21</v>
      </c>
      <c r="J494" t="str">
        <f t="shared" si="23"/>
        <v>2020-05-22Новосибирск</v>
      </c>
    </row>
    <row r="495" spans="1:10" ht="14.25" customHeight="1" x14ac:dyDescent="0.3">
      <c r="A495" s="15">
        <v>43983</v>
      </c>
      <c r="B495" s="6" t="s">
        <v>25</v>
      </c>
      <c r="C495" s="6">
        <v>5166</v>
      </c>
      <c r="D495" s="27">
        <v>389013</v>
      </c>
      <c r="E495" s="5">
        <f>IFERROR(VLOOKUP(J495,Sheet2!C495:F998,2),0)</f>
        <v>9</v>
      </c>
      <c r="F495" s="5">
        <f>IFERROR(VLOOKUP(J495,Sheet2!C495:F998,3),0)</f>
        <v>294</v>
      </c>
      <c r="G495" s="5">
        <f>IFERROR(VLOOKUP(J495, Sheet2!C495:F998,4),0)</f>
        <v>224</v>
      </c>
      <c r="H495" s="12">
        <f t="shared" si="21"/>
        <v>43223.666666666664</v>
      </c>
      <c r="I495">
        <f t="shared" si="22"/>
        <v>23</v>
      </c>
      <c r="J495" t="str">
        <f t="shared" si="23"/>
        <v>2020-06-01Томск</v>
      </c>
    </row>
    <row r="496" spans="1:10" ht="14.25" customHeight="1" x14ac:dyDescent="0.3">
      <c r="A496" s="14">
        <v>43962</v>
      </c>
      <c r="B496" s="4" t="s">
        <v>23</v>
      </c>
      <c r="C496" s="4">
        <v>10941</v>
      </c>
      <c r="D496" s="26">
        <v>880356</v>
      </c>
      <c r="E496" s="5">
        <f>IFERROR(VLOOKUP(J496,Sheet2!C496:F999,2),0)</f>
        <v>0</v>
      </c>
      <c r="F496" s="5">
        <f>IFERROR(VLOOKUP(J496,Sheet2!C496:F999,3),0)</f>
        <v>0</v>
      </c>
      <c r="G496" s="5">
        <f>IFERROR(VLOOKUP(J496, Sheet2!C496:F999,4),0)</f>
        <v>0</v>
      </c>
      <c r="H496" s="12">
        <f t="shared" si="21"/>
        <v>0</v>
      </c>
      <c r="I496">
        <f t="shared" si="22"/>
        <v>20</v>
      </c>
      <c r="J496" t="str">
        <f t="shared" si="23"/>
        <v>2020-05-11Новосибирск</v>
      </c>
    </row>
    <row r="497" spans="1:10" ht="14.25" customHeight="1" x14ac:dyDescent="0.3">
      <c r="A497" s="15">
        <v>43969</v>
      </c>
      <c r="B497" s="6" t="s">
        <v>23</v>
      </c>
      <c r="C497" s="6">
        <v>14497.5</v>
      </c>
      <c r="D497" s="27">
        <v>1230711</v>
      </c>
      <c r="E497" s="5">
        <f>IFERROR(VLOOKUP(J497,Sheet2!C497:F1000,2),0)</f>
        <v>0</v>
      </c>
      <c r="F497" s="5">
        <f>IFERROR(VLOOKUP(J497,Sheet2!C497:F1000,3),0)</f>
        <v>0</v>
      </c>
      <c r="G497" s="5">
        <f>IFERROR(VLOOKUP(J497, Sheet2!C497:F1000,4),0)</f>
        <v>0</v>
      </c>
      <c r="H497" s="12">
        <f t="shared" si="21"/>
        <v>0</v>
      </c>
      <c r="I497">
        <f t="shared" si="22"/>
        <v>21</v>
      </c>
      <c r="J497" t="str">
        <f t="shared" si="23"/>
        <v>2020-05-18Новосибирск</v>
      </c>
    </row>
    <row r="498" spans="1:10" ht="14.25" customHeight="1" x14ac:dyDescent="0.3">
      <c r="A498" s="14">
        <v>43965</v>
      </c>
      <c r="B498" s="4" t="s">
        <v>23</v>
      </c>
      <c r="C498" s="4">
        <v>13810.5</v>
      </c>
      <c r="D498" s="26">
        <v>1131676.5</v>
      </c>
      <c r="E498" s="5">
        <f>IFERROR(VLOOKUP(J498,Sheet2!C498:F1001,2),0)</f>
        <v>0</v>
      </c>
      <c r="F498" s="5">
        <f>IFERROR(VLOOKUP(J498,Sheet2!C498:F1001,3),0)</f>
        <v>0</v>
      </c>
      <c r="G498" s="5">
        <f>IFERROR(VLOOKUP(J498, Sheet2!C498:F1001,4),0)</f>
        <v>0</v>
      </c>
      <c r="H498" s="12">
        <f t="shared" si="21"/>
        <v>0</v>
      </c>
      <c r="I498">
        <f t="shared" si="22"/>
        <v>20</v>
      </c>
      <c r="J498" t="str">
        <f t="shared" si="23"/>
        <v>2020-05-14Новосибирск</v>
      </c>
    </row>
    <row r="499" spans="1:10" ht="14.25" customHeight="1" x14ac:dyDescent="0.3">
      <c r="A499" s="15">
        <v>43966</v>
      </c>
      <c r="B499" s="6" t="s">
        <v>23</v>
      </c>
      <c r="C499" s="6">
        <v>13752</v>
      </c>
      <c r="D499" s="27">
        <v>1091040</v>
      </c>
      <c r="E499" s="5">
        <f>IFERROR(VLOOKUP(J499,Sheet2!C499:F1002,2),0)</f>
        <v>0</v>
      </c>
      <c r="F499" s="5">
        <f>IFERROR(VLOOKUP(J499,Sheet2!C499:F1002,3),0)</f>
        <v>0</v>
      </c>
      <c r="G499" s="5">
        <f>IFERROR(VLOOKUP(J499, Sheet2!C499:F1002,4),0)</f>
        <v>0</v>
      </c>
      <c r="H499" s="12">
        <f t="shared" si="21"/>
        <v>0</v>
      </c>
      <c r="I499">
        <f t="shared" si="22"/>
        <v>20</v>
      </c>
      <c r="J499" t="str">
        <f t="shared" si="23"/>
        <v>2020-05-15Новосибирск</v>
      </c>
    </row>
    <row r="500" spans="1:10" ht="14.25" customHeight="1" x14ac:dyDescent="0.3">
      <c r="A500" s="14">
        <v>43978</v>
      </c>
      <c r="B500" s="4" t="s">
        <v>23</v>
      </c>
      <c r="C500" s="4">
        <v>15276</v>
      </c>
      <c r="D500" s="26">
        <v>1350199.5</v>
      </c>
      <c r="E500" s="5">
        <f>IFERROR(VLOOKUP(J500,Sheet2!C500:F1003,2),0)</f>
        <v>0</v>
      </c>
      <c r="F500" s="5">
        <f>IFERROR(VLOOKUP(J500,Sheet2!C500:F1003,3),0)</f>
        <v>0</v>
      </c>
      <c r="G500" s="5">
        <f>IFERROR(VLOOKUP(J500, Sheet2!C500:F1003,4),0)</f>
        <v>0</v>
      </c>
      <c r="H500" s="12">
        <f t="shared" si="21"/>
        <v>0</v>
      </c>
      <c r="I500">
        <f t="shared" si="22"/>
        <v>22</v>
      </c>
      <c r="J500" t="str">
        <f t="shared" si="23"/>
        <v>2020-05-27Новосибирск</v>
      </c>
    </row>
    <row r="501" spans="1:10" ht="14.25" customHeight="1" x14ac:dyDescent="0.3">
      <c r="A501" s="15">
        <v>43983</v>
      </c>
      <c r="B501" s="6" t="s">
        <v>26</v>
      </c>
      <c r="C501" s="6">
        <v>4408.5</v>
      </c>
      <c r="D501" s="27">
        <v>410892</v>
      </c>
      <c r="E501" s="5">
        <f>IFERROR(VLOOKUP(J501,Sheet2!C501:F1004,2),0)</f>
        <v>6</v>
      </c>
      <c r="F501" s="5">
        <f>IFERROR(VLOOKUP(J501,Sheet2!C501:F1004,3),0)</f>
        <v>237</v>
      </c>
      <c r="G501" s="5">
        <f>IFERROR(VLOOKUP(J501, Sheet2!C501:F1004,4),0)</f>
        <v>175</v>
      </c>
      <c r="H501" s="12">
        <f t="shared" si="21"/>
        <v>68482</v>
      </c>
      <c r="I501">
        <f t="shared" si="22"/>
        <v>23</v>
      </c>
      <c r="J501" t="str">
        <f t="shared" si="23"/>
        <v>2020-06-01Уфа</v>
      </c>
    </row>
    <row r="502" spans="1:10" ht="14.25" customHeight="1" x14ac:dyDescent="0.3">
      <c r="A502" s="14">
        <v>43980</v>
      </c>
      <c r="B502" s="4" t="s">
        <v>24</v>
      </c>
      <c r="C502" s="4">
        <v>9927</v>
      </c>
      <c r="D502" s="26">
        <v>850840.5</v>
      </c>
      <c r="E502" s="5">
        <f>IFERROR(VLOOKUP(J502,Sheet2!C502:F1005,2),0)</f>
        <v>0</v>
      </c>
      <c r="F502" s="5">
        <f>IFERROR(VLOOKUP(J502,Sheet2!C502:F1005,3),0)</f>
        <v>0</v>
      </c>
      <c r="G502" s="5">
        <f>IFERROR(VLOOKUP(J502, Sheet2!C502:F1005,4),0)</f>
        <v>0</v>
      </c>
      <c r="H502" s="12">
        <f t="shared" si="21"/>
        <v>0</v>
      </c>
      <c r="I502">
        <f t="shared" si="22"/>
        <v>22</v>
      </c>
      <c r="J502" t="str">
        <f t="shared" si="23"/>
        <v>2020-05-29Тюмень</v>
      </c>
    </row>
    <row r="503" spans="1:10" ht="14.25" customHeight="1" x14ac:dyDescent="0.3">
      <c r="A503" s="15">
        <v>43983</v>
      </c>
      <c r="B503" s="6" t="s">
        <v>24</v>
      </c>
      <c r="C503" s="6">
        <v>9474</v>
      </c>
      <c r="D503" s="27">
        <v>802447.5</v>
      </c>
      <c r="E503" s="5">
        <f>IFERROR(VLOOKUP(J503,Sheet2!C503:F1006,2),0)</f>
        <v>7</v>
      </c>
      <c r="F503" s="5">
        <f>IFERROR(VLOOKUP(J503,Sheet2!C503:F1006,3),0)</f>
        <v>500</v>
      </c>
      <c r="G503" s="5">
        <f>IFERROR(VLOOKUP(J503, Sheet2!C503:F1006,4),0)</f>
        <v>418</v>
      </c>
      <c r="H503" s="12">
        <f t="shared" si="21"/>
        <v>114635.35714285714</v>
      </c>
      <c r="I503">
        <f t="shared" si="22"/>
        <v>23</v>
      </c>
      <c r="J503" t="str">
        <f t="shared" si="23"/>
        <v>2020-06-01Тюмень</v>
      </c>
    </row>
    <row r="504" spans="1:10" ht="14.25" customHeight="1" x14ac:dyDescent="0.3">
      <c r="A504" s="14">
        <v>43980</v>
      </c>
      <c r="B504" s="4" t="s">
        <v>23</v>
      </c>
      <c r="C504" s="4">
        <v>16878</v>
      </c>
      <c r="D504" s="26">
        <v>1438255.5</v>
      </c>
      <c r="E504" s="5">
        <f>IFERROR(VLOOKUP(J504,Sheet2!C504:F1007,2),0)</f>
        <v>0</v>
      </c>
      <c r="F504" s="5">
        <f>IFERROR(VLOOKUP(J504,Sheet2!C504:F1007,3),0)</f>
        <v>0</v>
      </c>
      <c r="G504" s="5">
        <f>IFERROR(VLOOKUP(J504, Sheet2!C504:F1007,4),0)</f>
        <v>0</v>
      </c>
      <c r="H504" s="12">
        <f t="shared" si="21"/>
        <v>0</v>
      </c>
      <c r="I504">
        <f t="shared" si="22"/>
        <v>22</v>
      </c>
      <c r="J504" t="str">
        <f t="shared" si="23"/>
        <v>2020-05-29Новосибирск</v>
      </c>
    </row>
    <row r="505" spans="1:10" ht="14.25" customHeight="1" x14ac:dyDescent="0.3">
      <c r="A505" s="16">
        <v>43983</v>
      </c>
      <c r="B505" s="7" t="s">
        <v>23</v>
      </c>
      <c r="C505" s="7">
        <v>14238</v>
      </c>
      <c r="D505" s="28">
        <v>1293219</v>
      </c>
      <c r="E505" s="5">
        <f>IFERROR(VLOOKUP(J505,Sheet2!C505:F1008,2),0)</f>
        <v>0</v>
      </c>
      <c r="F505" s="5">
        <f>IFERROR(VLOOKUP(J505,Sheet2!C505:F1008,3),0)</f>
        <v>0</v>
      </c>
      <c r="G505" s="5">
        <f>IFERROR(VLOOKUP(J505, Sheet2!C505:F1008,4),0)</f>
        <v>0</v>
      </c>
      <c r="H505" s="12">
        <f t="shared" si="21"/>
        <v>0</v>
      </c>
      <c r="I505">
        <f t="shared" si="22"/>
        <v>23</v>
      </c>
    </row>
    <row r="506" spans="1:10" ht="14.25" customHeight="1" x14ac:dyDescent="0.3"/>
    <row r="507" spans="1:10" ht="14.25" customHeight="1" x14ac:dyDescent="0.3"/>
    <row r="508" spans="1:10" ht="14.25" customHeight="1" x14ac:dyDescent="0.3"/>
    <row r="509" spans="1:10" ht="14.25" customHeight="1" x14ac:dyDescent="0.3"/>
    <row r="510" spans="1:10" ht="14.25" customHeight="1" x14ac:dyDescent="0.3"/>
    <row r="511" spans="1:10" ht="14.25" customHeight="1" x14ac:dyDescent="0.3"/>
    <row r="512" spans="1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82" workbookViewId="0">
      <selection activeCell="D12" sqref="D12"/>
    </sheetView>
  </sheetViews>
  <sheetFormatPr defaultColWidth="14.44140625" defaultRowHeight="15" customHeight="1" x14ac:dyDescent="0.3"/>
  <cols>
    <col min="1" max="1" width="10.44140625" style="8" customWidth="1"/>
    <col min="2" max="2" width="22.88671875" customWidth="1"/>
    <col min="3" max="3" width="30.88671875" hidden="1" customWidth="1"/>
    <col min="4" max="4" width="22.6640625" customWidth="1"/>
    <col min="5" max="5" width="22.109375" customWidth="1"/>
    <col min="6" max="6" width="25.44140625" customWidth="1"/>
    <col min="7" max="7" width="8.6640625" hidden="1" customWidth="1"/>
    <col min="8" max="27" width="8.6640625" customWidth="1"/>
  </cols>
  <sheetData>
    <row r="1" spans="1:7" ht="14.25" customHeight="1" x14ac:dyDescent="0.3">
      <c r="A1" s="17" t="s">
        <v>0</v>
      </c>
      <c r="B1" s="2" t="s">
        <v>1</v>
      </c>
      <c r="D1" s="2" t="s">
        <v>4</v>
      </c>
      <c r="E1" s="2" t="s">
        <v>5</v>
      </c>
      <c r="F1" s="2" t="s">
        <v>6</v>
      </c>
    </row>
    <row r="2" spans="1:7" ht="14.25" customHeight="1" x14ac:dyDescent="0.3">
      <c r="A2" s="18">
        <v>43949</v>
      </c>
      <c r="B2" s="5" t="s">
        <v>16</v>
      </c>
      <c r="C2" t="s">
        <v>33</v>
      </c>
      <c r="D2" s="5">
        <v>36</v>
      </c>
      <c r="E2" s="5">
        <v>4923</v>
      </c>
      <c r="F2" s="5">
        <v>4560</v>
      </c>
      <c r="G2" t="str">
        <f>TEXT(A2,"yyyy-mm-dd") &amp; TRIM(B2)</f>
        <v>2020-04-28Волгоград</v>
      </c>
    </row>
    <row r="3" spans="1:7" ht="14.25" customHeight="1" x14ac:dyDescent="0.3">
      <c r="A3" s="18">
        <v>43949</v>
      </c>
      <c r="B3" s="5" t="s">
        <v>11</v>
      </c>
      <c r="C3" t="s">
        <v>34</v>
      </c>
      <c r="D3" s="5">
        <v>31</v>
      </c>
      <c r="E3" s="5">
        <v>5465</v>
      </c>
      <c r="F3" s="5">
        <v>5096</v>
      </c>
      <c r="G3" t="str">
        <f t="shared" ref="G3:G66" si="0">TEXT(A3,"yyyy-mm-dd") &amp; TRIM(B3)</f>
        <v>2020-04-28Екатеринбург</v>
      </c>
    </row>
    <row r="4" spans="1:7" ht="14.25" customHeight="1" x14ac:dyDescent="0.3">
      <c r="A4" s="18">
        <v>43949</v>
      </c>
      <c r="B4" s="5" t="s">
        <v>17</v>
      </c>
      <c r="C4" t="s">
        <v>35</v>
      </c>
      <c r="D4" s="5">
        <v>19</v>
      </c>
      <c r="E4" s="5">
        <v>1846</v>
      </c>
      <c r="F4" s="5">
        <v>1681</v>
      </c>
      <c r="G4" t="str">
        <f t="shared" si="0"/>
        <v>2020-04-28Казань</v>
      </c>
    </row>
    <row r="5" spans="1:7" ht="14.25" customHeight="1" x14ac:dyDescent="0.3">
      <c r="A5" s="18">
        <v>43949</v>
      </c>
      <c r="B5" s="5" t="s">
        <v>10</v>
      </c>
      <c r="C5" t="s">
        <v>36</v>
      </c>
      <c r="D5" s="5">
        <v>18</v>
      </c>
      <c r="E5" s="5">
        <v>1539</v>
      </c>
      <c r="F5" s="5">
        <v>1404</v>
      </c>
      <c r="G5" t="str">
        <f t="shared" si="0"/>
        <v>2020-04-28Кемерово</v>
      </c>
    </row>
    <row r="6" spans="1:7" ht="14.25" customHeight="1" x14ac:dyDescent="0.3">
      <c r="A6" s="18">
        <v>43949</v>
      </c>
      <c r="B6" s="5" t="s">
        <v>20</v>
      </c>
      <c r="C6" t="s">
        <v>37</v>
      </c>
      <c r="D6" s="5">
        <v>18</v>
      </c>
      <c r="E6" s="5">
        <v>1505</v>
      </c>
      <c r="F6" s="5">
        <v>1368</v>
      </c>
      <c r="G6" t="str">
        <f t="shared" si="0"/>
        <v>2020-04-28Краснодар</v>
      </c>
    </row>
    <row r="7" spans="1:7" ht="14.25" customHeight="1" x14ac:dyDescent="0.3">
      <c r="A7" s="18">
        <v>43949</v>
      </c>
      <c r="B7" s="5" t="s">
        <v>22</v>
      </c>
      <c r="C7" t="s">
        <v>38</v>
      </c>
      <c r="D7" s="5">
        <v>54</v>
      </c>
      <c r="E7" s="5">
        <v>12306</v>
      </c>
      <c r="F7" s="5">
        <v>11532</v>
      </c>
      <c r="G7" t="str">
        <f t="shared" si="0"/>
        <v>2020-04-28Москва Восток</v>
      </c>
    </row>
    <row r="8" spans="1:7" ht="14.25" customHeight="1" x14ac:dyDescent="0.3">
      <c r="A8" s="18">
        <v>43949</v>
      </c>
      <c r="B8" s="5" t="s">
        <v>21</v>
      </c>
      <c r="C8" t="s">
        <v>39</v>
      </c>
      <c r="D8" s="5">
        <v>59</v>
      </c>
      <c r="E8" s="5">
        <v>12943</v>
      </c>
      <c r="F8" s="5">
        <v>12072</v>
      </c>
      <c r="G8" t="str">
        <f t="shared" si="0"/>
        <v>2020-04-28Москва Запад</v>
      </c>
    </row>
    <row r="9" spans="1:7" ht="14.25" customHeight="1" x14ac:dyDescent="0.3">
      <c r="A9" s="18">
        <v>43949</v>
      </c>
      <c r="B9" s="5" t="s">
        <v>13</v>
      </c>
      <c r="C9" t="s">
        <v>40</v>
      </c>
      <c r="D9" s="5">
        <v>17</v>
      </c>
      <c r="E9" s="5">
        <v>1439</v>
      </c>
      <c r="F9" s="5">
        <v>1265</v>
      </c>
      <c r="G9" t="str">
        <f t="shared" si="0"/>
        <v>2020-04-28Нижний Новгород</v>
      </c>
    </row>
    <row r="10" spans="1:7" ht="14.25" customHeight="1" x14ac:dyDescent="0.3">
      <c r="A10" s="18">
        <v>43949</v>
      </c>
      <c r="B10" s="5" t="s">
        <v>23</v>
      </c>
      <c r="C10" t="s">
        <v>41</v>
      </c>
      <c r="D10" s="5">
        <v>15</v>
      </c>
      <c r="E10" s="5">
        <v>636</v>
      </c>
      <c r="F10" s="5">
        <v>547</v>
      </c>
      <c r="G10" t="str">
        <f t="shared" si="0"/>
        <v>2020-04-28Новосибирск</v>
      </c>
    </row>
    <row r="11" spans="1:7" ht="14.25" customHeight="1" x14ac:dyDescent="0.3">
      <c r="A11" s="18">
        <v>43949</v>
      </c>
      <c r="B11" s="5" t="s">
        <v>18</v>
      </c>
      <c r="C11" t="s">
        <v>42</v>
      </c>
      <c r="D11" s="5">
        <v>15</v>
      </c>
      <c r="E11" s="5">
        <v>780</v>
      </c>
      <c r="F11" s="5">
        <v>690</v>
      </c>
      <c r="G11" t="str">
        <f t="shared" si="0"/>
        <v>2020-04-28Пермь</v>
      </c>
    </row>
    <row r="12" spans="1:7" ht="14.25" customHeight="1" x14ac:dyDescent="0.3">
      <c r="A12" s="18">
        <v>43949</v>
      </c>
      <c r="B12" s="5" t="s">
        <v>15</v>
      </c>
      <c r="C12" t="s">
        <v>43</v>
      </c>
      <c r="D12" s="5">
        <v>125</v>
      </c>
      <c r="E12" s="5">
        <v>20914</v>
      </c>
      <c r="F12" s="5">
        <v>19479</v>
      </c>
      <c r="G12" t="str">
        <f t="shared" si="0"/>
        <v>2020-04-28Санкт-Петербург Север</v>
      </c>
    </row>
    <row r="13" spans="1:7" ht="14.25" customHeight="1" x14ac:dyDescent="0.3">
      <c r="A13" s="18">
        <v>43949</v>
      </c>
      <c r="B13" s="5" t="s">
        <v>14</v>
      </c>
      <c r="C13" t="s">
        <v>44</v>
      </c>
      <c r="D13" s="5">
        <v>128</v>
      </c>
      <c r="E13" s="5">
        <v>16450</v>
      </c>
      <c r="F13" s="5">
        <v>15320</v>
      </c>
      <c r="G13" t="str">
        <f t="shared" si="0"/>
        <v>2020-04-28Санкт-Петербург Юг</v>
      </c>
    </row>
    <row r="14" spans="1:7" ht="14.25" customHeight="1" x14ac:dyDescent="0.3">
      <c r="A14" s="18">
        <v>43949</v>
      </c>
      <c r="B14" s="5" t="s">
        <v>12</v>
      </c>
      <c r="C14" t="s">
        <v>45</v>
      </c>
      <c r="D14" s="5">
        <v>10</v>
      </c>
      <c r="E14" s="5">
        <v>580</v>
      </c>
      <c r="F14" s="5">
        <v>506</v>
      </c>
      <c r="G14" t="str">
        <f t="shared" si="0"/>
        <v>2020-04-28Тольятти</v>
      </c>
    </row>
    <row r="15" spans="1:7" ht="14.25" customHeight="1" x14ac:dyDescent="0.3">
      <c r="A15" s="18">
        <v>43950</v>
      </c>
      <c r="B15" s="5" t="s">
        <v>16</v>
      </c>
      <c r="C15" t="s">
        <v>46</v>
      </c>
      <c r="D15" s="5">
        <v>36</v>
      </c>
      <c r="E15" s="5">
        <v>4937</v>
      </c>
      <c r="F15" s="5">
        <v>4561</v>
      </c>
      <c r="G15" t="str">
        <f t="shared" si="0"/>
        <v>2020-04-29Волгоград</v>
      </c>
    </row>
    <row r="16" spans="1:7" ht="14.25" customHeight="1" x14ac:dyDescent="0.3">
      <c r="A16" s="18">
        <v>43950</v>
      </c>
      <c r="B16" s="5" t="s">
        <v>11</v>
      </c>
      <c r="C16" t="s">
        <v>47</v>
      </c>
      <c r="D16" s="5">
        <v>31</v>
      </c>
      <c r="E16" s="5">
        <v>5378</v>
      </c>
      <c r="F16" s="5">
        <v>4985</v>
      </c>
      <c r="G16" t="str">
        <f t="shared" si="0"/>
        <v>2020-04-29Екатеринбург</v>
      </c>
    </row>
    <row r="17" spans="1:7" ht="14.25" customHeight="1" x14ac:dyDescent="0.3">
      <c r="A17" s="18">
        <v>43950</v>
      </c>
      <c r="B17" s="5" t="s">
        <v>17</v>
      </c>
      <c r="C17" t="s">
        <v>48</v>
      </c>
      <c r="D17" s="5">
        <v>19</v>
      </c>
      <c r="E17" s="5">
        <v>1676</v>
      </c>
      <c r="F17" s="5">
        <v>1516</v>
      </c>
      <c r="G17" t="str">
        <f t="shared" si="0"/>
        <v>2020-04-29Казань</v>
      </c>
    </row>
    <row r="18" spans="1:7" ht="14.25" customHeight="1" x14ac:dyDescent="0.3">
      <c r="A18" s="18">
        <v>43950</v>
      </c>
      <c r="B18" s="5" t="s">
        <v>10</v>
      </c>
      <c r="C18" t="s">
        <v>49</v>
      </c>
      <c r="D18" s="5">
        <v>18</v>
      </c>
      <c r="E18" s="5">
        <v>1684</v>
      </c>
      <c r="F18" s="5">
        <v>1528</v>
      </c>
      <c r="G18" t="str">
        <f t="shared" si="0"/>
        <v>2020-04-29Кемерово</v>
      </c>
    </row>
    <row r="19" spans="1:7" ht="14.25" customHeight="1" x14ac:dyDescent="0.3">
      <c r="A19" s="18">
        <v>43950</v>
      </c>
      <c r="B19" s="5" t="s">
        <v>20</v>
      </c>
      <c r="C19" t="s">
        <v>50</v>
      </c>
      <c r="D19" s="5">
        <v>18</v>
      </c>
      <c r="E19" s="5">
        <v>1599</v>
      </c>
      <c r="F19" s="5">
        <v>1450</v>
      </c>
      <c r="G19" t="str">
        <f t="shared" si="0"/>
        <v>2020-04-29Краснодар</v>
      </c>
    </row>
    <row r="20" spans="1:7" ht="14.25" customHeight="1" x14ac:dyDescent="0.3">
      <c r="A20" s="18">
        <v>43950</v>
      </c>
      <c r="B20" s="5" t="s">
        <v>22</v>
      </c>
      <c r="C20" t="s">
        <v>51</v>
      </c>
      <c r="D20" s="5">
        <v>54</v>
      </c>
      <c r="E20" s="5">
        <v>12747</v>
      </c>
      <c r="F20" s="5">
        <v>11884</v>
      </c>
      <c r="G20" t="str">
        <f t="shared" si="0"/>
        <v>2020-04-29Москва Восток</v>
      </c>
    </row>
    <row r="21" spans="1:7" ht="14.25" customHeight="1" x14ac:dyDescent="0.3">
      <c r="A21" s="18">
        <v>43950</v>
      </c>
      <c r="B21" s="5" t="s">
        <v>21</v>
      </c>
      <c r="C21" t="s">
        <v>52</v>
      </c>
      <c r="D21" s="5">
        <v>59</v>
      </c>
      <c r="E21" s="5">
        <v>13186</v>
      </c>
      <c r="F21" s="5">
        <v>12251</v>
      </c>
      <c r="G21" t="str">
        <f t="shared" si="0"/>
        <v>2020-04-29Москва Запад</v>
      </c>
    </row>
    <row r="22" spans="1:7" ht="14.25" customHeight="1" x14ac:dyDescent="0.3">
      <c r="A22" s="18">
        <v>43950</v>
      </c>
      <c r="B22" s="5" t="s">
        <v>13</v>
      </c>
      <c r="C22" t="s">
        <v>53</v>
      </c>
      <c r="D22" s="5">
        <v>18</v>
      </c>
      <c r="E22" s="5">
        <v>1534</v>
      </c>
      <c r="F22" s="5">
        <v>1369</v>
      </c>
      <c r="G22" t="str">
        <f t="shared" si="0"/>
        <v>2020-04-29Нижний Новгород</v>
      </c>
    </row>
    <row r="23" spans="1:7" ht="14.25" customHeight="1" x14ac:dyDescent="0.3">
      <c r="A23" s="18">
        <v>43950</v>
      </c>
      <c r="B23" s="5" t="s">
        <v>23</v>
      </c>
      <c r="C23" t="s">
        <v>54</v>
      </c>
      <c r="D23" s="5">
        <v>15</v>
      </c>
      <c r="E23" s="5">
        <v>659</v>
      </c>
      <c r="F23" s="5">
        <v>575</v>
      </c>
      <c r="G23" t="str">
        <f t="shared" si="0"/>
        <v>2020-04-29Новосибирск</v>
      </c>
    </row>
    <row r="24" spans="1:7" ht="14.25" customHeight="1" x14ac:dyDescent="0.3">
      <c r="A24" s="18">
        <v>43950</v>
      </c>
      <c r="B24" s="5" t="s">
        <v>18</v>
      </c>
      <c r="C24" t="s">
        <v>55</v>
      </c>
      <c r="D24" s="5">
        <v>15</v>
      </c>
      <c r="E24" s="5">
        <v>786</v>
      </c>
      <c r="F24" s="5">
        <v>695</v>
      </c>
      <c r="G24" t="str">
        <f t="shared" si="0"/>
        <v>2020-04-29Пермь</v>
      </c>
    </row>
    <row r="25" spans="1:7" ht="14.25" customHeight="1" x14ac:dyDescent="0.3">
      <c r="A25" s="18">
        <v>43950</v>
      </c>
      <c r="B25" s="5" t="s">
        <v>15</v>
      </c>
      <c r="C25" t="s">
        <v>56</v>
      </c>
      <c r="D25" s="5">
        <v>125</v>
      </c>
      <c r="E25" s="5">
        <v>21863</v>
      </c>
      <c r="F25" s="5">
        <v>20160</v>
      </c>
      <c r="G25" t="str">
        <f t="shared" si="0"/>
        <v>2020-04-29Санкт-Петербург Север</v>
      </c>
    </row>
    <row r="26" spans="1:7" ht="14.25" customHeight="1" x14ac:dyDescent="0.3">
      <c r="A26" s="18">
        <v>43950</v>
      </c>
      <c r="B26" s="5" t="s">
        <v>14</v>
      </c>
      <c r="C26" t="s">
        <v>57</v>
      </c>
      <c r="D26" s="5">
        <v>128</v>
      </c>
      <c r="E26" s="5">
        <v>17368</v>
      </c>
      <c r="F26" s="5">
        <v>16077</v>
      </c>
      <c r="G26" t="str">
        <f t="shared" si="0"/>
        <v>2020-04-29Санкт-Петербург Юг</v>
      </c>
    </row>
    <row r="27" spans="1:7" ht="14.25" customHeight="1" x14ac:dyDescent="0.3">
      <c r="A27" s="18">
        <v>43950</v>
      </c>
      <c r="B27" s="5" t="s">
        <v>12</v>
      </c>
      <c r="C27" t="s">
        <v>58</v>
      </c>
      <c r="D27" s="5">
        <v>10</v>
      </c>
      <c r="E27" s="5">
        <v>502</v>
      </c>
      <c r="F27" s="5">
        <v>433</v>
      </c>
      <c r="G27" t="str">
        <f t="shared" si="0"/>
        <v>2020-04-29Тольятти</v>
      </c>
    </row>
    <row r="28" spans="1:7" ht="14.25" customHeight="1" x14ac:dyDescent="0.3">
      <c r="A28" s="18">
        <v>43951</v>
      </c>
      <c r="B28" s="5" t="s">
        <v>16</v>
      </c>
      <c r="C28" t="s">
        <v>59</v>
      </c>
      <c r="D28" s="5">
        <v>36</v>
      </c>
      <c r="E28" s="5">
        <v>5143</v>
      </c>
      <c r="F28" s="5">
        <v>4715</v>
      </c>
      <c r="G28" t="str">
        <f t="shared" si="0"/>
        <v>2020-04-30Волгоград</v>
      </c>
    </row>
    <row r="29" spans="1:7" ht="14.25" customHeight="1" x14ac:dyDescent="0.3">
      <c r="A29" s="18">
        <v>43951</v>
      </c>
      <c r="B29" s="5" t="s">
        <v>11</v>
      </c>
      <c r="C29" t="s">
        <v>60</v>
      </c>
      <c r="D29" s="5">
        <v>31</v>
      </c>
      <c r="E29" s="5">
        <v>5120</v>
      </c>
      <c r="F29" s="5">
        <v>4737</v>
      </c>
      <c r="G29" t="str">
        <f t="shared" si="0"/>
        <v>2020-04-30Екатеринбург</v>
      </c>
    </row>
    <row r="30" spans="1:7" ht="14.25" customHeight="1" x14ac:dyDescent="0.3">
      <c r="A30" s="18">
        <v>43951</v>
      </c>
      <c r="B30" s="5" t="s">
        <v>17</v>
      </c>
      <c r="C30" t="s">
        <v>61</v>
      </c>
      <c r="D30" s="5">
        <v>20</v>
      </c>
      <c r="E30" s="5">
        <v>1756</v>
      </c>
      <c r="F30" s="5">
        <v>1586</v>
      </c>
      <c r="G30" t="str">
        <f t="shared" si="0"/>
        <v>2020-04-30Казань</v>
      </c>
    </row>
    <row r="31" spans="1:7" ht="14.25" customHeight="1" x14ac:dyDescent="0.3">
      <c r="A31" s="18">
        <v>43951</v>
      </c>
      <c r="B31" s="5" t="s">
        <v>10</v>
      </c>
      <c r="C31" t="s">
        <v>62</v>
      </c>
      <c r="D31" s="5">
        <v>19</v>
      </c>
      <c r="E31" s="5">
        <v>1712</v>
      </c>
      <c r="F31" s="5">
        <v>1552</v>
      </c>
      <c r="G31" t="str">
        <f t="shared" si="0"/>
        <v>2020-04-30Кемерово</v>
      </c>
    </row>
    <row r="32" spans="1:7" ht="14.25" customHeight="1" x14ac:dyDescent="0.3">
      <c r="A32" s="18">
        <v>43951</v>
      </c>
      <c r="B32" s="5" t="s">
        <v>20</v>
      </c>
      <c r="C32" t="s">
        <v>63</v>
      </c>
      <c r="D32" s="5">
        <v>19</v>
      </c>
      <c r="E32" s="5">
        <v>1662</v>
      </c>
      <c r="F32" s="5">
        <v>1506</v>
      </c>
      <c r="G32" t="str">
        <f t="shared" si="0"/>
        <v>2020-04-30Краснодар</v>
      </c>
    </row>
    <row r="33" spans="1:7" ht="14.25" customHeight="1" x14ac:dyDescent="0.3">
      <c r="A33" s="18">
        <v>43951</v>
      </c>
      <c r="B33" s="5" t="s">
        <v>22</v>
      </c>
      <c r="C33" t="s">
        <v>64</v>
      </c>
      <c r="D33" s="5">
        <v>54</v>
      </c>
      <c r="E33" s="5">
        <v>12817</v>
      </c>
      <c r="F33" s="5">
        <v>11865</v>
      </c>
      <c r="G33" t="str">
        <f t="shared" si="0"/>
        <v>2020-04-30Москва Восток</v>
      </c>
    </row>
    <row r="34" spans="1:7" ht="14.25" customHeight="1" x14ac:dyDescent="0.3">
      <c r="A34" s="18">
        <v>43951</v>
      </c>
      <c r="B34" s="5" t="s">
        <v>21</v>
      </c>
      <c r="C34" t="s">
        <v>65</v>
      </c>
      <c r="D34" s="5">
        <v>59</v>
      </c>
      <c r="E34" s="5">
        <v>13251</v>
      </c>
      <c r="F34" s="5">
        <v>12255</v>
      </c>
      <c r="G34" t="str">
        <f t="shared" si="0"/>
        <v>2020-04-30Москва Запад</v>
      </c>
    </row>
    <row r="35" spans="1:7" ht="14.25" customHeight="1" x14ac:dyDescent="0.3">
      <c r="A35" s="18">
        <v>43951</v>
      </c>
      <c r="B35" s="5" t="s">
        <v>13</v>
      </c>
      <c r="C35" t="s">
        <v>66</v>
      </c>
      <c r="D35" s="5">
        <v>19</v>
      </c>
      <c r="E35" s="5">
        <v>1499</v>
      </c>
      <c r="F35" s="5">
        <v>1322</v>
      </c>
      <c r="G35" t="str">
        <f t="shared" si="0"/>
        <v>2020-04-30Нижний Новгород</v>
      </c>
    </row>
    <row r="36" spans="1:7" ht="14.25" customHeight="1" x14ac:dyDescent="0.3">
      <c r="A36" s="18">
        <v>43951</v>
      </c>
      <c r="B36" s="5" t="s">
        <v>23</v>
      </c>
      <c r="C36" t="s">
        <v>67</v>
      </c>
      <c r="D36" s="5">
        <v>15</v>
      </c>
      <c r="E36" s="5">
        <v>644</v>
      </c>
      <c r="F36" s="5">
        <v>550</v>
      </c>
      <c r="G36" t="str">
        <f t="shared" si="0"/>
        <v>2020-04-30Новосибирск</v>
      </c>
    </row>
    <row r="37" spans="1:7" ht="14.25" customHeight="1" x14ac:dyDescent="0.3">
      <c r="A37" s="18">
        <v>43951</v>
      </c>
      <c r="B37" s="5" t="s">
        <v>18</v>
      </c>
      <c r="C37" t="s">
        <v>68</v>
      </c>
      <c r="D37" s="5">
        <v>15</v>
      </c>
      <c r="E37" s="5">
        <v>791</v>
      </c>
      <c r="F37" s="5">
        <v>691</v>
      </c>
      <c r="G37" t="str">
        <f t="shared" si="0"/>
        <v>2020-04-30Пермь</v>
      </c>
    </row>
    <row r="38" spans="1:7" ht="14.25" customHeight="1" x14ac:dyDescent="0.3">
      <c r="A38" s="18">
        <v>43951</v>
      </c>
      <c r="B38" s="5" t="s">
        <v>19</v>
      </c>
      <c r="C38" t="s">
        <v>69</v>
      </c>
      <c r="D38" s="5">
        <v>15</v>
      </c>
      <c r="E38" s="5">
        <v>262</v>
      </c>
      <c r="F38" s="5">
        <v>195</v>
      </c>
      <c r="G38" t="str">
        <f t="shared" si="0"/>
        <v>2020-04-30Ростов-на-Дону</v>
      </c>
    </row>
    <row r="39" spans="1:7" ht="14.25" customHeight="1" x14ac:dyDescent="0.3">
      <c r="A39" s="18">
        <v>43951</v>
      </c>
      <c r="B39" s="5" t="s">
        <v>15</v>
      </c>
      <c r="C39" t="s">
        <v>70</v>
      </c>
      <c r="D39" s="5">
        <v>125</v>
      </c>
      <c r="E39" s="5">
        <v>22368</v>
      </c>
      <c r="F39" s="5">
        <v>20625</v>
      </c>
      <c r="G39" t="str">
        <f t="shared" si="0"/>
        <v>2020-04-30Санкт-Петербург Север</v>
      </c>
    </row>
    <row r="40" spans="1:7" ht="14.25" customHeight="1" x14ac:dyDescent="0.3">
      <c r="A40" s="18">
        <v>43951</v>
      </c>
      <c r="B40" s="5" t="s">
        <v>14</v>
      </c>
      <c r="C40" t="s">
        <v>71</v>
      </c>
      <c r="D40" s="5">
        <v>129</v>
      </c>
      <c r="E40" s="5">
        <v>18042</v>
      </c>
      <c r="F40" s="5">
        <v>16631</v>
      </c>
      <c r="G40" t="str">
        <f t="shared" si="0"/>
        <v>2020-04-30Санкт-Петербург Юг</v>
      </c>
    </row>
    <row r="41" spans="1:7" ht="14.25" customHeight="1" x14ac:dyDescent="0.3">
      <c r="A41" s="18">
        <v>43951</v>
      </c>
      <c r="B41" s="5" t="s">
        <v>12</v>
      </c>
      <c r="C41" t="s">
        <v>72</v>
      </c>
      <c r="D41" s="5">
        <v>10</v>
      </c>
      <c r="E41" s="5">
        <v>448</v>
      </c>
      <c r="F41" s="5">
        <v>376</v>
      </c>
      <c r="G41" t="str">
        <f t="shared" si="0"/>
        <v>2020-04-30Тольятти</v>
      </c>
    </row>
    <row r="42" spans="1:7" ht="14.25" customHeight="1" x14ac:dyDescent="0.3">
      <c r="A42" s="18">
        <v>43952</v>
      </c>
      <c r="B42" s="5" t="s">
        <v>16</v>
      </c>
      <c r="C42" t="s">
        <v>73</v>
      </c>
      <c r="D42" s="5">
        <v>36</v>
      </c>
      <c r="E42" s="5">
        <v>5457</v>
      </c>
      <c r="F42" s="5">
        <v>4916</v>
      </c>
      <c r="G42" t="str">
        <f t="shared" si="0"/>
        <v>2020-05-01Волгоград</v>
      </c>
    </row>
    <row r="43" spans="1:7" ht="14.25" customHeight="1" x14ac:dyDescent="0.3">
      <c r="A43" s="18">
        <v>43952</v>
      </c>
      <c r="B43" s="5" t="s">
        <v>11</v>
      </c>
      <c r="C43" t="s">
        <v>74</v>
      </c>
      <c r="D43" s="5">
        <v>31</v>
      </c>
      <c r="E43" s="5">
        <v>6118</v>
      </c>
      <c r="F43" s="5">
        <v>5564</v>
      </c>
      <c r="G43" t="str">
        <f t="shared" si="0"/>
        <v>2020-05-01Екатеринбург</v>
      </c>
    </row>
    <row r="44" spans="1:7" ht="14.25" customHeight="1" x14ac:dyDescent="0.3">
      <c r="A44" s="18">
        <v>43952</v>
      </c>
      <c r="B44" s="5" t="s">
        <v>17</v>
      </c>
      <c r="C44" t="s">
        <v>75</v>
      </c>
      <c r="D44" s="5">
        <v>20</v>
      </c>
      <c r="E44" s="5">
        <v>2468</v>
      </c>
      <c r="F44" s="5">
        <v>2221</v>
      </c>
      <c r="G44" t="str">
        <f t="shared" si="0"/>
        <v>2020-05-01Казань</v>
      </c>
    </row>
    <row r="45" spans="1:7" ht="14.25" customHeight="1" x14ac:dyDescent="0.3">
      <c r="A45" s="18">
        <v>43952</v>
      </c>
      <c r="B45" s="5" t="s">
        <v>10</v>
      </c>
      <c r="C45" t="s">
        <v>76</v>
      </c>
      <c r="D45" s="5">
        <v>18</v>
      </c>
      <c r="E45" s="5">
        <v>1826</v>
      </c>
      <c r="F45" s="5">
        <v>1633</v>
      </c>
      <c r="G45" t="str">
        <f t="shared" si="0"/>
        <v>2020-05-01Кемерово</v>
      </c>
    </row>
    <row r="46" spans="1:7" ht="14.25" customHeight="1" x14ac:dyDescent="0.3">
      <c r="A46" s="18">
        <v>43952</v>
      </c>
      <c r="B46" s="5" t="s">
        <v>20</v>
      </c>
      <c r="C46" t="s">
        <v>77</v>
      </c>
      <c r="D46" s="5">
        <v>19</v>
      </c>
      <c r="E46" s="5">
        <v>1987</v>
      </c>
      <c r="F46" s="5">
        <v>1791</v>
      </c>
      <c r="G46" t="str">
        <f t="shared" si="0"/>
        <v>2020-05-01Краснодар</v>
      </c>
    </row>
    <row r="47" spans="1:7" ht="14.25" customHeight="1" x14ac:dyDescent="0.3">
      <c r="A47" s="18">
        <v>43952</v>
      </c>
      <c r="B47" s="5" t="s">
        <v>22</v>
      </c>
      <c r="C47" t="s">
        <v>78</v>
      </c>
      <c r="D47" s="5">
        <v>54</v>
      </c>
      <c r="E47" s="5">
        <v>14205</v>
      </c>
      <c r="F47" s="5">
        <v>13026</v>
      </c>
      <c r="G47" t="str">
        <f t="shared" si="0"/>
        <v>2020-05-01Москва Восток</v>
      </c>
    </row>
    <row r="48" spans="1:7" ht="14.25" customHeight="1" x14ac:dyDescent="0.3">
      <c r="A48" s="18">
        <v>43952</v>
      </c>
      <c r="B48" s="5" t="s">
        <v>21</v>
      </c>
      <c r="C48" t="s">
        <v>79</v>
      </c>
      <c r="D48" s="5">
        <v>59</v>
      </c>
      <c r="E48" s="5">
        <v>15222</v>
      </c>
      <c r="F48" s="5">
        <v>13873</v>
      </c>
      <c r="G48" t="str">
        <f t="shared" si="0"/>
        <v>2020-05-01Москва Запад</v>
      </c>
    </row>
    <row r="49" spans="1:7" ht="14.25" customHeight="1" x14ac:dyDescent="0.3">
      <c r="A49" s="18">
        <v>43952</v>
      </c>
      <c r="B49" s="5" t="s">
        <v>13</v>
      </c>
      <c r="C49" t="s">
        <v>80</v>
      </c>
      <c r="D49" s="5">
        <v>19</v>
      </c>
      <c r="E49" s="5">
        <v>1497</v>
      </c>
      <c r="F49" s="5">
        <v>1291</v>
      </c>
      <c r="G49" t="str">
        <f t="shared" si="0"/>
        <v>2020-05-01Нижний Новгород</v>
      </c>
    </row>
    <row r="50" spans="1:7" ht="14.25" customHeight="1" x14ac:dyDescent="0.3">
      <c r="A50" s="18">
        <v>43952</v>
      </c>
      <c r="B50" s="5" t="s">
        <v>23</v>
      </c>
      <c r="C50" t="s">
        <v>81</v>
      </c>
      <c r="D50" s="5">
        <v>15</v>
      </c>
      <c r="E50" s="5">
        <v>721</v>
      </c>
      <c r="F50" s="5">
        <v>625</v>
      </c>
      <c r="G50" t="str">
        <f t="shared" si="0"/>
        <v>2020-05-01Новосибирск</v>
      </c>
    </row>
    <row r="51" spans="1:7" ht="14.25" customHeight="1" x14ac:dyDescent="0.3">
      <c r="A51" s="18">
        <v>43952</v>
      </c>
      <c r="B51" s="5" t="s">
        <v>18</v>
      </c>
      <c r="C51" t="s">
        <v>82</v>
      </c>
      <c r="D51" s="5">
        <v>15</v>
      </c>
      <c r="E51" s="5">
        <v>996</v>
      </c>
      <c r="F51" s="5">
        <v>888</v>
      </c>
      <c r="G51" t="str">
        <f t="shared" si="0"/>
        <v>2020-05-01Пермь</v>
      </c>
    </row>
    <row r="52" spans="1:7" ht="14.25" customHeight="1" x14ac:dyDescent="0.3">
      <c r="A52" s="18">
        <v>43952</v>
      </c>
      <c r="B52" s="5" t="s">
        <v>19</v>
      </c>
      <c r="C52" t="s">
        <v>83</v>
      </c>
      <c r="D52" s="5">
        <v>15</v>
      </c>
      <c r="E52" s="5">
        <v>294</v>
      </c>
      <c r="F52" s="5">
        <v>225</v>
      </c>
      <c r="G52" t="str">
        <f t="shared" si="0"/>
        <v>2020-05-01Ростов-на-Дону</v>
      </c>
    </row>
    <row r="53" spans="1:7" ht="14.25" customHeight="1" x14ac:dyDescent="0.3">
      <c r="A53" s="18">
        <v>43952</v>
      </c>
      <c r="B53" s="5" t="s">
        <v>15</v>
      </c>
      <c r="C53" t="s">
        <v>84</v>
      </c>
      <c r="D53" s="5">
        <v>125</v>
      </c>
      <c r="E53" s="5">
        <v>20602</v>
      </c>
      <c r="F53" s="5">
        <v>18845</v>
      </c>
      <c r="G53" t="str">
        <f t="shared" si="0"/>
        <v>2020-05-01Санкт-Петербург Север</v>
      </c>
    </row>
    <row r="54" spans="1:7" ht="14.25" customHeight="1" x14ac:dyDescent="0.3">
      <c r="A54" s="18">
        <v>43952</v>
      </c>
      <c r="B54" s="5" t="s">
        <v>14</v>
      </c>
      <c r="C54" t="s">
        <v>85</v>
      </c>
      <c r="D54" s="5">
        <v>129</v>
      </c>
      <c r="E54" s="5">
        <v>17002</v>
      </c>
      <c r="F54" s="5">
        <v>15570</v>
      </c>
      <c r="G54" t="str">
        <f t="shared" si="0"/>
        <v>2020-05-01Санкт-Петербург Юг</v>
      </c>
    </row>
    <row r="55" spans="1:7" ht="14.25" customHeight="1" x14ac:dyDescent="0.3">
      <c r="A55" s="18">
        <v>43952</v>
      </c>
      <c r="B55" s="5" t="s">
        <v>12</v>
      </c>
      <c r="C55" t="s">
        <v>86</v>
      </c>
      <c r="D55" s="5">
        <v>10</v>
      </c>
      <c r="E55" s="5">
        <v>554</v>
      </c>
      <c r="F55" s="5">
        <v>472</v>
      </c>
      <c r="G55" t="str">
        <f t="shared" si="0"/>
        <v>2020-05-01Тольятти</v>
      </c>
    </row>
    <row r="56" spans="1:7" ht="14.25" customHeight="1" x14ac:dyDescent="0.3">
      <c r="A56" s="18">
        <v>43953</v>
      </c>
      <c r="B56" s="5" t="s">
        <v>16</v>
      </c>
      <c r="C56" t="s">
        <v>87</v>
      </c>
      <c r="D56" s="5">
        <v>36</v>
      </c>
      <c r="E56" s="5">
        <v>3442</v>
      </c>
      <c r="F56" s="5">
        <v>3147</v>
      </c>
      <c r="G56" t="str">
        <f t="shared" si="0"/>
        <v>2020-05-02Волгоград</v>
      </c>
    </row>
    <row r="57" spans="1:7" ht="14.25" customHeight="1" x14ac:dyDescent="0.3">
      <c r="A57" s="18">
        <v>43953</v>
      </c>
      <c r="B57" s="5" t="s">
        <v>11</v>
      </c>
      <c r="C57" t="s">
        <v>88</v>
      </c>
      <c r="D57" s="5">
        <v>31</v>
      </c>
      <c r="E57" s="5">
        <v>4157</v>
      </c>
      <c r="F57" s="5">
        <v>3823</v>
      </c>
      <c r="G57" t="str">
        <f t="shared" si="0"/>
        <v>2020-05-02Екатеринбург</v>
      </c>
    </row>
    <row r="58" spans="1:7" ht="14.25" customHeight="1" x14ac:dyDescent="0.3">
      <c r="A58" s="18">
        <v>43953</v>
      </c>
      <c r="B58" s="5" t="s">
        <v>17</v>
      </c>
      <c r="C58" t="s">
        <v>89</v>
      </c>
      <c r="D58" s="5">
        <v>20</v>
      </c>
      <c r="E58" s="5">
        <v>1613</v>
      </c>
      <c r="F58" s="5">
        <v>1457</v>
      </c>
      <c r="G58" t="str">
        <f t="shared" si="0"/>
        <v>2020-05-02Казань</v>
      </c>
    </row>
    <row r="59" spans="1:7" ht="14.25" customHeight="1" x14ac:dyDescent="0.3">
      <c r="A59" s="18">
        <v>43953</v>
      </c>
      <c r="B59" s="5" t="s">
        <v>10</v>
      </c>
      <c r="C59" t="s">
        <v>90</v>
      </c>
      <c r="D59" s="5">
        <v>18</v>
      </c>
      <c r="E59" s="5">
        <v>1708</v>
      </c>
      <c r="F59" s="5">
        <v>1534</v>
      </c>
      <c r="G59" t="str">
        <f t="shared" si="0"/>
        <v>2020-05-02Кемерово</v>
      </c>
    </row>
    <row r="60" spans="1:7" ht="14.25" customHeight="1" x14ac:dyDescent="0.3">
      <c r="A60" s="18">
        <v>43953</v>
      </c>
      <c r="B60" s="5" t="s">
        <v>20</v>
      </c>
      <c r="C60" t="s">
        <v>91</v>
      </c>
      <c r="D60" s="5">
        <v>19</v>
      </c>
      <c r="E60" s="5">
        <v>1206</v>
      </c>
      <c r="F60" s="5">
        <v>1080</v>
      </c>
      <c r="G60" t="str">
        <f t="shared" si="0"/>
        <v>2020-05-02Краснодар</v>
      </c>
    </row>
    <row r="61" spans="1:7" ht="14.25" customHeight="1" x14ac:dyDescent="0.3">
      <c r="A61" s="18">
        <v>43953</v>
      </c>
      <c r="B61" s="5" t="s">
        <v>22</v>
      </c>
      <c r="C61" t="s">
        <v>92</v>
      </c>
      <c r="D61" s="5">
        <v>54</v>
      </c>
      <c r="E61" s="5">
        <v>11622</v>
      </c>
      <c r="F61" s="5">
        <v>10754</v>
      </c>
      <c r="G61" t="str">
        <f t="shared" si="0"/>
        <v>2020-05-02Москва Восток</v>
      </c>
    </row>
    <row r="62" spans="1:7" ht="14.25" customHeight="1" x14ac:dyDescent="0.3">
      <c r="A62" s="18">
        <v>43953</v>
      </c>
      <c r="B62" s="5" t="s">
        <v>21</v>
      </c>
      <c r="C62" t="s">
        <v>93</v>
      </c>
      <c r="D62" s="5">
        <v>59</v>
      </c>
      <c r="E62" s="5">
        <v>12429</v>
      </c>
      <c r="F62" s="5">
        <v>11477</v>
      </c>
      <c r="G62" t="str">
        <f t="shared" si="0"/>
        <v>2020-05-02Москва Запад</v>
      </c>
    </row>
    <row r="63" spans="1:7" ht="14.25" customHeight="1" x14ac:dyDescent="0.3">
      <c r="A63" s="18">
        <v>43953</v>
      </c>
      <c r="B63" s="5" t="s">
        <v>13</v>
      </c>
      <c r="C63" t="s">
        <v>94</v>
      </c>
      <c r="D63" s="5">
        <v>19</v>
      </c>
      <c r="E63" s="5">
        <v>1217</v>
      </c>
      <c r="F63" s="5">
        <v>1048</v>
      </c>
      <c r="G63" t="str">
        <f t="shared" si="0"/>
        <v>2020-05-02Нижний Новгород</v>
      </c>
    </row>
    <row r="64" spans="1:7" ht="14.25" customHeight="1" x14ac:dyDescent="0.3">
      <c r="A64" s="18">
        <v>43953</v>
      </c>
      <c r="B64" s="5" t="s">
        <v>23</v>
      </c>
      <c r="C64" t="s">
        <v>95</v>
      </c>
      <c r="D64" s="5">
        <v>15</v>
      </c>
      <c r="E64" s="5">
        <v>567</v>
      </c>
      <c r="F64" s="5">
        <v>493</v>
      </c>
      <c r="G64" t="str">
        <f t="shared" si="0"/>
        <v>2020-05-02Новосибирск</v>
      </c>
    </row>
    <row r="65" spans="1:7" ht="14.25" customHeight="1" x14ac:dyDescent="0.3">
      <c r="A65" s="18">
        <v>43953</v>
      </c>
      <c r="B65" s="5" t="s">
        <v>18</v>
      </c>
      <c r="C65" t="s">
        <v>96</v>
      </c>
      <c r="D65" s="5">
        <v>15</v>
      </c>
      <c r="E65" s="5">
        <v>751</v>
      </c>
      <c r="F65" s="5">
        <v>651</v>
      </c>
      <c r="G65" t="str">
        <f t="shared" si="0"/>
        <v>2020-05-02Пермь</v>
      </c>
    </row>
    <row r="66" spans="1:7" ht="14.25" customHeight="1" x14ac:dyDescent="0.3">
      <c r="A66" s="18">
        <v>43953</v>
      </c>
      <c r="B66" s="5" t="s">
        <v>19</v>
      </c>
      <c r="C66" t="s">
        <v>97</v>
      </c>
      <c r="D66" s="5">
        <v>15</v>
      </c>
      <c r="E66" s="5">
        <v>274</v>
      </c>
      <c r="F66" s="5">
        <v>203</v>
      </c>
      <c r="G66" t="str">
        <f t="shared" si="0"/>
        <v>2020-05-02Ростов-на-Дону</v>
      </c>
    </row>
    <row r="67" spans="1:7" ht="14.25" customHeight="1" x14ac:dyDescent="0.3">
      <c r="A67" s="18">
        <v>43953</v>
      </c>
      <c r="B67" s="5" t="s">
        <v>15</v>
      </c>
      <c r="C67" t="s">
        <v>98</v>
      </c>
      <c r="D67" s="5">
        <v>125</v>
      </c>
      <c r="E67" s="5">
        <v>16932</v>
      </c>
      <c r="F67" s="5">
        <v>15601</v>
      </c>
      <c r="G67" t="str">
        <f t="shared" ref="G67:G130" si="1">TEXT(A67,"yyyy-mm-dd") &amp; TRIM(B67)</f>
        <v>2020-05-02Санкт-Петербург Север</v>
      </c>
    </row>
    <row r="68" spans="1:7" ht="14.25" customHeight="1" x14ac:dyDescent="0.3">
      <c r="A68" s="18">
        <v>43953</v>
      </c>
      <c r="B68" s="5" t="s">
        <v>14</v>
      </c>
      <c r="C68" t="s">
        <v>99</v>
      </c>
      <c r="D68" s="5">
        <v>129</v>
      </c>
      <c r="E68" s="5">
        <v>14009</v>
      </c>
      <c r="F68" s="5">
        <v>12920</v>
      </c>
      <c r="G68" t="str">
        <f t="shared" si="1"/>
        <v>2020-05-02Санкт-Петербург Юг</v>
      </c>
    </row>
    <row r="69" spans="1:7" ht="14.25" customHeight="1" x14ac:dyDescent="0.3">
      <c r="A69" s="18">
        <v>43953</v>
      </c>
      <c r="B69" s="5" t="s">
        <v>12</v>
      </c>
      <c r="C69" t="s">
        <v>100</v>
      </c>
      <c r="D69" s="5">
        <v>10</v>
      </c>
      <c r="E69" s="5">
        <v>416</v>
      </c>
      <c r="F69" s="5">
        <v>341</v>
      </c>
      <c r="G69" t="str">
        <f t="shared" si="1"/>
        <v>2020-05-02Тольятти</v>
      </c>
    </row>
    <row r="70" spans="1:7" ht="14.25" customHeight="1" x14ac:dyDescent="0.3">
      <c r="A70" s="18">
        <v>43954</v>
      </c>
      <c r="B70" s="5" t="s">
        <v>16</v>
      </c>
      <c r="C70" t="s">
        <v>101</v>
      </c>
      <c r="D70" s="5">
        <v>36</v>
      </c>
      <c r="E70" s="5">
        <v>4751</v>
      </c>
      <c r="F70" s="5">
        <v>4370</v>
      </c>
      <c r="G70" t="str">
        <f t="shared" si="1"/>
        <v>2020-05-03Волгоград</v>
      </c>
    </row>
    <row r="71" spans="1:7" ht="14.25" customHeight="1" x14ac:dyDescent="0.3">
      <c r="A71" s="18">
        <v>43954</v>
      </c>
      <c r="B71" s="5" t="s">
        <v>11</v>
      </c>
      <c r="C71" t="s">
        <v>102</v>
      </c>
      <c r="D71" s="5">
        <v>31</v>
      </c>
      <c r="E71" s="5">
        <v>5155</v>
      </c>
      <c r="F71" s="5">
        <v>4762</v>
      </c>
      <c r="G71" t="str">
        <f t="shared" si="1"/>
        <v>2020-05-03Екатеринбург</v>
      </c>
    </row>
    <row r="72" spans="1:7" ht="14.25" customHeight="1" x14ac:dyDescent="0.3">
      <c r="A72" s="18">
        <v>43954</v>
      </c>
      <c r="B72" s="5" t="s">
        <v>17</v>
      </c>
      <c r="C72" t="s">
        <v>103</v>
      </c>
      <c r="D72" s="5">
        <v>20</v>
      </c>
      <c r="E72" s="5">
        <v>1716</v>
      </c>
      <c r="F72" s="5">
        <v>1561</v>
      </c>
      <c r="G72" t="str">
        <f t="shared" si="1"/>
        <v>2020-05-03Казань</v>
      </c>
    </row>
    <row r="73" spans="1:7" ht="14.25" customHeight="1" x14ac:dyDescent="0.3">
      <c r="A73" s="18">
        <v>43954</v>
      </c>
      <c r="B73" s="5" t="s">
        <v>10</v>
      </c>
      <c r="C73" t="s">
        <v>104</v>
      </c>
      <c r="D73" s="5">
        <v>20</v>
      </c>
      <c r="E73" s="5">
        <v>1520</v>
      </c>
      <c r="F73" s="5">
        <v>1373</v>
      </c>
      <c r="G73" t="str">
        <f t="shared" si="1"/>
        <v>2020-05-03Кемерово</v>
      </c>
    </row>
    <row r="74" spans="1:7" ht="14.25" customHeight="1" x14ac:dyDescent="0.3">
      <c r="A74" s="18">
        <v>43954</v>
      </c>
      <c r="B74" s="5" t="s">
        <v>20</v>
      </c>
      <c r="C74" t="s">
        <v>105</v>
      </c>
      <c r="D74" s="5">
        <v>19</v>
      </c>
      <c r="E74" s="5">
        <v>1314</v>
      </c>
      <c r="F74" s="5">
        <v>1192</v>
      </c>
      <c r="G74" t="str">
        <f t="shared" si="1"/>
        <v>2020-05-03Краснодар</v>
      </c>
    </row>
    <row r="75" spans="1:7" ht="14.25" customHeight="1" x14ac:dyDescent="0.3">
      <c r="A75" s="18">
        <v>43954</v>
      </c>
      <c r="B75" s="5" t="s">
        <v>22</v>
      </c>
      <c r="C75" t="s">
        <v>106</v>
      </c>
      <c r="D75" s="5">
        <v>54</v>
      </c>
      <c r="E75" s="5">
        <v>14823</v>
      </c>
      <c r="F75" s="5">
        <v>13751</v>
      </c>
      <c r="G75" t="str">
        <f t="shared" si="1"/>
        <v>2020-05-03Москва Восток</v>
      </c>
    </row>
    <row r="76" spans="1:7" ht="14.25" customHeight="1" x14ac:dyDescent="0.3">
      <c r="A76" s="18">
        <v>43954</v>
      </c>
      <c r="B76" s="5" t="s">
        <v>21</v>
      </c>
      <c r="C76" t="s">
        <v>107</v>
      </c>
      <c r="D76" s="5">
        <v>59</v>
      </c>
      <c r="E76" s="5">
        <v>15277</v>
      </c>
      <c r="F76" s="5">
        <v>14163</v>
      </c>
      <c r="G76" t="str">
        <f t="shared" si="1"/>
        <v>2020-05-03Москва Запад</v>
      </c>
    </row>
    <row r="77" spans="1:7" ht="14.25" customHeight="1" x14ac:dyDescent="0.3">
      <c r="A77" s="18">
        <v>43954</v>
      </c>
      <c r="B77" s="5" t="s">
        <v>13</v>
      </c>
      <c r="C77" t="s">
        <v>108</v>
      </c>
      <c r="D77" s="5">
        <v>19</v>
      </c>
      <c r="E77" s="5">
        <v>1402</v>
      </c>
      <c r="F77" s="5">
        <v>1234</v>
      </c>
      <c r="G77" t="str">
        <f t="shared" si="1"/>
        <v>2020-05-03Нижний Новгород</v>
      </c>
    </row>
    <row r="78" spans="1:7" ht="14.25" customHeight="1" x14ac:dyDescent="0.3">
      <c r="A78" s="18">
        <v>43954</v>
      </c>
      <c r="B78" s="5" t="s">
        <v>23</v>
      </c>
      <c r="C78" t="s">
        <v>109</v>
      </c>
      <c r="D78" s="5">
        <v>15</v>
      </c>
      <c r="E78" s="5">
        <v>585</v>
      </c>
      <c r="F78" s="5">
        <v>502</v>
      </c>
      <c r="G78" t="str">
        <f t="shared" si="1"/>
        <v>2020-05-03Новосибирск</v>
      </c>
    </row>
    <row r="79" spans="1:7" ht="14.25" customHeight="1" x14ac:dyDescent="0.3">
      <c r="A79" s="18">
        <v>43954</v>
      </c>
      <c r="B79" s="5" t="s">
        <v>18</v>
      </c>
      <c r="C79" t="s">
        <v>110</v>
      </c>
      <c r="D79" s="5">
        <v>15</v>
      </c>
      <c r="E79" s="5">
        <v>784</v>
      </c>
      <c r="F79" s="5">
        <v>696</v>
      </c>
      <c r="G79" t="str">
        <f t="shared" si="1"/>
        <v>2020-05-03Пермь</v>
      </c>
    </row>
    <row r="80" spans="1:7" ht="14.25" customHeight="1" x14ac:dyDescent="0.3">
      <c r="A80" s="18">
        <v>43954</v>
      </c>
      <c r="B80" s="5" t="s">
        <v>19</v>
      </c>
      <c r="C80" t="s">
        <v>111</v>
      </c>
      <c r="D80" s="5">
        <v>15</v>
      </c>
      <c r="E80" s="5">
        <v>455</v>
      </c>
      <c r="F80" s="5">
        <v>384</v>
      </c>
      <c r="G80" t="str">
        <f t="shared" si="1"/>
        <v>2020-05-03Ростов-на-Дону</v>
      </c>
    </row>
    <row r="81" spans="1:7" ht="14.25" customHeight="1" x14ac:dyDescent="0.3">
      <c r="A81" s="18">
        <v>43954</v>
      </c>
      <c r="B81" s="5" t="s">
        <v>15</v>
      </c>
      <c r="C81" t="s">
        <v>112</v>
      </c>
      <c r="D81" s="5">
        <v>125</v>
      </c>
      <c r="E81" s="5">
        <v>18861</v>
      </c>
      <c r="F81" s="5">
        <v>17420</v>
      </c>
      <c r="G81" t="str">
        <f t="shared" si="1"/>
        <v>2020-05-03Санкт-Петербург Север</v>
      </c>
    </row>
    <row r="82" spans="1:7" ht="14.25" customHeight="1" x14ac:dyDescent="0.3">
      <c r="A82" s="18">
        <v>43954</v>
      </c>
      <c r="B82" s="5" t="s">
        <v>14</v>
      </c>
      <c r="C82" t="s">
        <v>113</v>
      </c>
      <c r="D82" s="5">
        <v>129</v>
      </c>
      <c r="E82" s="5">
        <v>15778</v>
      </c>
      <c r="F82" s="5">
        <v>14624</v>
      </c>
      <c r="G82" t="str">
        <f t="shared" si="1"/>
        <v>2020-05-03Санкт-Петербург Юг</v>
      </c>
    </row>
    <row r="83" spans="1:7" ht="14.25" customHeight="1" x14ac:dyDescent="0.3">
      <c r="A83" s="18">
        <v>43954</v>
      </c>
      <c r="B83" s="5" t="s">
        <v>12</v>
      </c>
      <c r="C83" t="s">
        <v>114</v>
      </c>
      <c r="D83" s="5">
        <v>10</v>
      </c>
      <c r="E83" s="5">
        <v>402</v>
      </c>
      <c r="F83" s="5">
        <v>333</v>
      </c>
      <c r="G83" t="str">
        <f t="shared" si="1"/>
        <v>2020-05-03Тольятти</v>
      </c>
    </row>
    <row r="84" spans="1:7" ht="14.25" customHeight="1" x14ac:dyDescent="0.3">
      <c r="A84" s="18">
        <v>43955</v>
      </c>
      <c r="B84" s="5" t="s">
        <v>16</v>
      </c>
      <c r="C84" t="s">
        <v>115</v>
      </c>
      <c r="D84" s="5">
        <v>36</v>
      </c>
      <c r="E84" s="5">
        <v>4508</v>
      </c>
      <c r="F84" s="5">
        <v>4149</v>
      </c>
      <c r="G84" t="str">
        <f t="shared" si="1"/>
        <v>2020-05-04Волгоград</v>
      </c>
    </row>
    <row r="85" spans="1:7" ht="14.25" customHeight="1" x14ac:dyDescent="0.3">
      <c r="A85" s="18">
        <v>43955</v>
      </c>
      <c r="B85" s="5" t="s">
        <v>11</v>
      </c>
      <c r="C85" t="s">
        <v>116</v>
      </c>
      <c r="D85" s="5">
        <v>31</v>
      </c>
      <c r="E85" s="5">
        <v>4968</v>
      </c>
      <c r="F85" s="5">
        <v>4596</v>
      </c>
      <c r="G85" t="str">
        <f t="shared" si="1"/>
        <v>2020-05-04Екатеринбург</v>
      </c>
    </row>
    <row r="86" spans="1:7" ht="14.25" customHeight="1" x14ac:dyDescent="0.3">
      <c r="A86" s="18">
        <v>43955</v>
      </c>
      <c r="B86" s="5" t="s">
        <v>17</v>
      </c>
      <c r="C86" t="s">
        <v>117</v>
      </c>
      <c r="D86" s="5">
        <v>20</v>
      </c>
      <c r="E86" s="5">
        <v>1804</v>
      </c>
      <c r="F86" s="5">
        <v>1638</v>
      </c>
      <c r="G86" t="str">
        <f t="shared" si="1"/>
        <v>2020-05-04Казань</v>
      </c>
    </row>
    <row r="87" spans="1:7" ht="14.25" customHeight="1" x14ac:dyDescent="0.3">
      <c r="A87" s="18">
        <v>43955</v>
      </c>
      <c r="B87" s="5" t="s">
        <v>10</v>
      </c>
      <c r="C87" t="s">
        <v>118</v>
      </c>
      <c r="D87" s="5">
        <v>20</v>
      </c>
      <c r="E87" s="5">
        <v>1519</v>
      </c>
      <c r="F87" s="5">
        <v>1372</v>
      </c>
      <c r="G87" t="str">
        <f t="shared" si="1"/>
        <v>2020-05-04Кемерово</v>
      </c>
    </row>
    <row r="88" spans="1:7" ht="14.25" customHeight="1" x14ac:dyDescent="0.3">
      <c r="A88" s="18">
        <v>43955</v>
      </c>
      <c r="B88" s="5" t="s">
        <v>20</v>
      </c>
      <c r="C88" t="s">
        <v>119</v>
      </c>
      <c r="D88" s="5">
        <v>19</v>
      </c>
      <c r="E88" s="5">
        <v>1479</v>
      </c>
      <c r="F88" s="5">
        <v>1346</v>
      </c>
      <c r="G88" t="str">
        <f t="shared" si="1"/>
        <v>2020-05-04Краснодар</v>
      </c>
    </row>
    <row r="89" spans="1:7" ht="14.25" customHeight="1" x14ac:dyDescent="0.3">
      <c r="A89" s="18">
        <v>43955</v>
      </c>
      <c r="B89" s="5" t="s">
        <v>22</v>
      </c>
      <c r="C89" t="s">
        <v>120</v>
      </c>
      <c r="D89" s="5">
        <v>54</v>
      </c>
      <c r="E89" s="5">
        <v>13606</v>
      </c>
      <c r="F89" s="5">
        <v>12697</v>
      </c>
      <c r="G89" t="str">
        <f t="shared" si="1"/>
        <v>2020-05-04Москва Восток</v>
      </c>
    </row>
    <row r="90" spans="1:7" ht="14.25" customHeight="1" x14ac:dyDescent="0.3">
      <c r="A90" s="18">
        <v>43955</v>
      </c>
      <c r="B90" s="5" t="s">
        <v>21</v>
      </c>
      <c r="C90" t="s">
        <v>121</v>
      </c>
      <c r="D90" s="5">
        <v>59</v>
      </c>
      <c r="E90" s="5">
        <v>14423</v>
      </c>
      <c r="F90" s="5">
        <v>13432</v>
      </c>
      <c r="G90" t="str">
        <f t="shared" si="1"/>
        <v>2020-05-04Москва Запад</v>
      </c>
    </row>
    <row r="91" spans="1:7" ht="14.25" customHeight="1" x14ac:dyDescent="0.3">
      <c r="A91" s="18">
        <v>43955</v>
      </c>
      <c r="B91" s="5" t="s">
        <v>13</v>
      </c>
      <c r="C91" t="s">
        <v>122</v>
      </c>
      <c r="D91" s="5">
        <v>19</v>
      </c>
      <c r="E91" s="5">
        <v>1582</v>
      </c>
      <c r="F91" s="5">
        <v>1403</v>
      </c>
      <c r="G91" t="str">
        <f t="shared" si="1"/>
        <v>2020-05-04Нижний Новгород</v>
      </c>
    </row>
    <row r="92" spans="1:7" ht="14.25" customHeight="1" x14ac:dyDescent="0.3">
      <c r="A92" s="18">
        <v>43955</v>
      </c>
      <c r="B92" s="5" t="s">
        <v>23</v>
      </c>
      <c r="C92" t="s">
        <v>123</v>
      </c>
      <c r="D92" s="5">
        <v>15</v>
      </c>
      <c r="E92" s="5">
        <v>622</v>
      </c>
      <c r="F92" s="5">
        <v>538</v>
      </c>
      <c r="G92" t="str">
        <f t="shared" si="1"/>
        <v>2020-05-04Новосибирск</v>
      </c>
    </row>
    <row r="93" spans="1:7" ht="14.25" customHeight="1" x14ac:dyDescent="0.3">
      <c r="A93" s="18">
        <v>43955</v>
      </c>
      <c r="B93" s="5" t="s">
        <v>18</v>
      </c>
      <c r="C93" t="s">
        <v>124</v>
      </c>
      <c r="D93" s="5">
        <v>15</v>
      </c>
      <c r="E93" s="5">
        <v>750</v>
      </c>
      <c r="F93" s="5">
        <v>647</v>
      </c>
      <c r="G93" t="str">
        <f t="shared" si="1"/>
        <v>2020-05-04Пермь</v>
      </c>
    </row>
    <row r="94" spans="1:7" ht="14.25" customHeight="1" x14ac:dyDescent="0.3">
      <c r="A94" s="18">
        <v>43955</v>
      </c>
      <c r="B94" s="5" t="s">
        <v>19</v>
      </c>
      <c r="C94" t="s">
        <v>125</v>
      </c>
      <c r="D94" s="5">
        <v>15</v>
      </c>
      <c r="E94" s="5">
        <v>390</v>
      </c>
      <c r="F94" s="5">
        <v>315</v>
      </c>
      <c r="G94" t="str">
        <f t="shared" si="1"/>
        <v>2020-05-04Ростов-на-Дону</v>
      </c>
    </row>
    <row r="95" spans="1:7" ht="14.25" customHeight="1" x14ac:dyDescent="0.3">
      <c r="A95" s="18">
        <v>43955</v>
      </c>
      <c r="B95" s="5" t="s">
        <v>15</v>
      </c>
      <c r="C95" t="s">
        <v>126</v>
      </c>
      <c r="D95" s="5">
        <v>125</v>
      </c>
      <c r="E95" s="5">
        <v>20495</v>
      </c>
      <c r="F95" s="5">
        <v>18964</v>
      </c>
      <c r="G95" t="str">
        <f t="shared" si="1"/>
        <v>2020-05-04Санкт-Петербург Север</v>
      </c>
    </row>
    <row r="96" spans="1:7" ht="14.25" customHeight="1" x14ac:dyDescent="0.3">
      <c r="A96" s="18">
        <v>43955</v>
      </c>
      <c r="B96" s="5" t="s">
        <v>14</v>
      </c>
      <c r="C96" t="s">
        <v>127</v>
      </c>
      <c r="D96" s="5">
        <v>129</v>
      </c>
      <c r="E96" s="5">
        <v>16525</v>
      </c>
      <c r="F96" s="5">
        <v>15310</v>
      </c>
      <c r="G96" t="str">
        <f t="shared" si="1"/>
        <v>2020-05-04Санкт-Петербург Юг</v>
      </c>
    </row>
    <row r="97" spans="1:7" ht="14.25" customHeight="1" x14ac:dyDescent="0.3">
      <c r="A97" s="18">
        <v>43955</v>
      </c>
      <c r="B97" s="5" t="s">
        <v>12</v>
      </c>
      <c r="C97" t="s">
        <v>128</v>
      </c>
      <c r="D97" s="5">
        <v>10</v>
      </c>
      <c r="E97" s="5">
        <v>462</v>
      </c>
      <c r="F97" s="5">
        <v>396</v>
      </c>
      <c r="G97" t="str">
        <f t="shared" si="1"/>
        <v>2020-05-04Тольятти</v>
      </c>
    </row>
    <row r="98" spans="1:7" ht="14.25" customHeight="1" x14ac:dyDescent="0.3">
      <c r="A98" s="18">
        <v>43956</v>
      </c>
      <c r="B98" s="5" t="s">
        <v>16</v>
      </c>
      <c r="C98" t="s">
        <v>129</v>
      </c>
      <c r="D98" s="5">
        <v>36</v>
      </c>
      <c r="E98" s="5">
        <v>4575</v>
      </c>
      <c r="F98" s="5">
        <v>4206</v>
      </c>
      <c r="G98" t="str">
        <f t="shared" si="1"/>
        <v>2020-05-05Волгоград</v>
      </c>
    </row>
    <row r="99" spans="1:7" ht="14.25" customHeight="1" x14ac:dyDescent="0.3">
      <c r="A99" s="18">
        <v>43956</v>
      </c>
      <c r="B99" s="5" t="s">
        <v>11</v>
      </c>
      <c r="C99" t="s">
        <v>130</v>
      </c>
      <c r="D99" s="5">
        <v>31</v>
      </c>
      <c r="E99" s="5">
        <v>5188</v>
      </c>
      <c r="F99" s="5">
        <v>4800</v>
      </c>
      <c r="G99" t="str">
        <f t="shared" si="1"/>
        <v>2020-05-05Екатеринбург</v>
      </c>
    </row>
    <row r="100" spans="1:7" ht="14.25" customHeight="1" x14ac:dyDescent="0.3">
      <c r="A100" s="18">
        <v>43956</v>
      </c>
      <c r="B100" s="5" t="s">
        <v>17</v>
      </c>
      <c r="C100" t="s">
        <v>131</v>
      </c>
      <c r="D100" s="5">
        <v>20</v>
      </c>
      <c r="E100" s="5">
        <v>1757</v>
      </c>
      <c r="F100" s="5">
        <v>1596</v>
      </c>
      <c r="G100" t="str">
        <f t="shared" si="1"/>
        <v>2020-05-05Казань</v>
      </c>
    </row>
    <row r="101" spans="1:7" ht="14.25" customHeight="1" x14ac:dyDescent="0.3">
      <c r="A101" s="18">
        <v>43956</v>
      </c>
      <c r="B101" s="5" t="s">
        <v>10</v>
      </c>
      <c r="C101" t="s">
        <v>132</v>
      </c>
      <c r="D101" s="5">
        <v>20</v>
      </c>
      <c r="E101" s="5">
        <v>1773</v>
      </c>
      <c r="F101" s="5">
        <v>1604</v>
      </c>
      <c r="G101" t="str">
        <f t="shared" si="1"/>
        <v>2020-05-05Кемерово</v>
      </c>
    </row>
    <row r="102" spans="1:7" ht="14.25" customHeight="1" x14ac:dyDescent="0.3">
      <c r="A102" s="18">
        <v>43956</v>
      </c>
      <c r="B102" s="5" t="s">
        <v>20</v>
      </c>
      <c r="C102" t="s">
        <v>133</v>
      </c>
      <c r="D102" s="5">
        <v>19</v>
      </c>
      <c r="E102" s="5">
        <v>1622</v>
      </c>
      <c r="F102" s="5">
        <v>1482</v>
      </c>
      <c r="G102" t="str">
        <f t="shared" si="1"/>
        <v>2020-05-05Краснодар</v>
      </c>
    </row>
    <row r="103" spans="1:7" ht="14.25" customHeight="1" x14ac:dyDescent="0.3">
      <c r="A103" s="18">
        <v>43956</v>
      </c>
      <c r="B103" s="5" t="s">
        <v>22</v>
      </c>
      <c r="C103" t="s">
        <v>134</v>
      </c>
      <c r="D103" s="5">
        <v>54</v>
      </c>
      <c r="E103" s="5">
        <v>12775</v>
      </c>
      <c r="F103" s="5">
        <v>11887</v>
      </c>
      <c r="G103" t="str">
        <f t="shared" si="1"/>
        <v>2020-05-05Москва Восток</v>
      </c>
    </row>
    <row r="104" spans="1:7" ht="14.25" customHeight="1" x14ac:dyDescent="0.3">
      <c r="A104" s="18">
        <v>43956</v>
      </c>
      <c r="B104" s="5" t="s">
        <v>21</v>
      </c>
      <c r="C104" t="s">
        <v>135</v>
      </c>
      <c r="D104" s="5">
        <v>59</v>
      </c>
      <c r="E104" s="5">
        <v>13469</v>
      </c>
      <c r="F104" s="5">
        <v>12486</v>
      </c>
      <c r="G104" t="str">
        <f t="shared" si="1"/>
        <v>2020-05-05Москва Запад</v>
      </c>
    </row>
    <row r="105" spans="1:7" ht="14.25" customHeight="1" x14ac:dyDescent="0.3">
      <c r="A105" s="18">
        <v>43956</v>
      </c>
      <c r="B105" s="5" t="s">
        <v>13</v>
      </c>
      <c r="C105" t="s">
        <v>136</v>
      </c>
      <c r="D105" s="5">
        <v>19</v>
      </c>
      <c r="E105" s="5">
        <v>1417</v>
      </c>
      <c r="F105" s="5">
        <v>1245</v>
      </c>
      <c r="G105" t="str">
        <f t="shared" si="1"/>
        <v>2020-05-05Нижний Новгород</v>
      </c>
    </row>
    <row r="106" spans="1:7" ht="14.25" customHeight="1" x14ac:dyDescent="0.3">
      <c r="A106" s="18">
        <v>43956</v>
      </c>
      <c r="B106" s="5" t="s">
        <v>23</v>
      </c>
      <c r="C106" t="s">
        <v>137</v>
      </c>
      <c r="D106" s="5">
        <v>15</v>
      </c>
      <c r="E106" s="5">
        <v>750</v>
      </c>
      <c r="F106" s="5">
        <v>658</v>
      </c>
      <c r="G106" t="str">
        <f t="shared" si="1"/>
        <v>2020-05-05Новосибирск</v>
      </c>
    </row>
    <row r="107" spans="1:7" ht="14.25" customHeight="1" x14ac:dyDescent="0.3">
      <c r="A107" s="18">
        <v>43956</v>
      </c>
      <c r="B107" s="5" t="s">
        <v>18</v>
      </c>
      <c r="C107" t="s">
        <v>138</v>
      </c>
      <c r="D107" s="5">
        <v>15</v>
      </c>
      <c r="E107" s="5">
        <v>922</v>
      </c>
      <c r="F107" s="5">
        <v>823</v>
      </c>
      <c r="G107" t="str">
        <f t="shared" si="1"/>
        <v>2020-05-05Пермь</v>
      </c>
    </row>
    <row r="108" spans="1:7" ht="14.25" customHeight="1" x14ac:dyDescent="0.3">
      <c r="A108" s="18">
        <v>43956</v>
      </c>
      <c r="B108" s="5" t="s">
        <v>19</v>
      </c>
      <c r="C108" t="s">
        <v>139</v>
      </c>
      <c r="D108" s="5">
        <v>15</v>
      </c>
      <c r="E108" s="5">
        <v>455</v>
      </c>
      <c r="F108" s="5">
        <v>381</v>
      </c>
      <c r="G108" t="str">
        <f t="shared" si="1"/>
        <v>2020-05-05Ростов-на-Дону</v>
      </c>
    </row>
    <row r="109" spans="1:7" ht="14.25" customHeight="1" x14ac:dyDescent="0.3">
      <c r="A109" s="18">
        <v>43956</v>
      </c>
      <c r="B109" s="5" t="s">
        <v>15</v>
      </c>
      <c r="C109" t="s">
        <v>140</v>
      </c>
      <c r="D109" s="5">
        <v>125</v>
      </c>
      <c r="E109" s="5">
        <v>18944</v>
      </c>
      <c r="F109" s="5">
        <v>17541</v>
      </c>
      <c r="G109" t="str">
        <f t="shared" si="1"/>
        <v>2020-05-05Санкт-Петербург Север</v>
      </c>
    </row>
    <row r="110" spans="1:7" ht="14.25" customHeight="1" x14ac:dyDescent="0.3">
      <c r="A110" s="18">
        <v>43956</v>
      </c>
      <c r="B110" s="5" t="s">
        <v>14</v>
      </c>
      <c r="C110" t="s">
        <v>141</v>
      </c>
      <c r="D110" s="5">
        <v>129</v>
      </c>
      <c r="E110" s="5">
        <v>15665</v>
      </c>
      <c r="F110" s="5">
        <v>14501</v>
      </c>
      <c r="G110" t="str">
        <f t="shared" si="1"/>
        <v>2020-05-05Санкт-Петербург Юг</v>
      </c>
    </row>
    <row r="111" spans="1:7" ht="14.25" customHeight="1" x14ac:dyDescent="0.3">
      <c r="A111" s="18">
        <v>43956</v>
      </c>
      <c r="B111" s="5" t="s">
        <v>12</v>
      </c>
      <c r="C111" t="s">
        <v>142</v>
      </c>
      <c r="D111" s="5">
        <v>10</v>
      </c>
      <c r="E111" s="5">
        <v>511</v>
      </c>
      <c r="F111" s="5">
        <v>437</v>
      </c>
      <c r="G111" t="str">
        <f t="shared" si="1"/>
        <v>2020-05-05Тольятти</v>
      </c>
    </row>
    <row r="112" spans="1:7" ht="14.25" customHeight="1" x14ac:dyDescent="0.3">
      <c r="A112" s="18">
        <v>43957</v>
      </c>
      <c r="B112" s="5" t="s">
        <v>16</v>
      </c>
      <c r="C112" t="s">
        <v>143</v>
      </c>
      <c r="D112" s="5">
        <v>36</v>
      </c>
      <c r="E112" s="5">
        <v>4384</v>
      </c>
      <c r="F112" s="5">
        <v>4025</v>
      </c>
      <c r="G112" t="str">
        <f t="shared" si="1"/>
        <v>2020-05-06Волгоград</v>
      </c>
    </row>
    <row r="113" spans="1:7" ht="14.25" customHeight="1" x14ac:dyDescent="0.3">
      <c r="A113" s="18">
        <v>43957</v>
      </c>
      <c r="B113" s="5" t="s">
        <v>11</v>
      </c>
      <c r="C113" t="s">
        <v>144</v>
      </c>
      <c r="D113" s="5">
        <v>31</v>
      </c>
      <c r="E113" s="5">
        <v>4709</v>
      </c>
      <c r="F113" s="5">
        <v>4348</v>
      </c>
      <c r="G113" t="str">
        <f t="shared" si="1"/>
        <v>2020-05-06Екатеринбург</v>
      </c>
    </row>
    <row r="114" spans="1:7" ht="14.25" customHeight="1" x14ac:dyDescent="0.3">
      <c r="A114" s="18">
        <v>43957</v>
      </c>
      <c r="B114" s="5" t="s">
        <v>17</v>
      </c>
      <c r="C114" t="s">
        <v>145</v>
      </c>
      <c r="D114" s="5">
        <v>20</v>
      </c>
      <c r="E114" s="5">
        <v>1747</v>
      </c>
      <c r="F114" s="5">
        <v>1570</v>
      </c>
      <c r="G114" t="str">
        <f t="shared" si="1"/>
        <v>2020-05-06Казань</v>
      </c>
    </row>
    <row r="115" spans="1:7" ht="14.25" customHeight="1" x14ac:dyDescent="0.3">
      <c r="A115" s="18">
        <v>43957</v>
      </c>
      <c r="B115" s="5" t="s">
        <v>10</v>
      </c>
      <c r="C115" t="s">
        <v>146</v>
      </c>
      <c r="D115" s="5">
        <v>20</v>
      </c>
      <c r="E115" s="5">
        <v>1784</v>
      </c>
      <c r="F115" s="5">
        <v>1632</v>
      </c>
      <c r="G115" t="str">
        <f t="shared" si="1"/>
        <v>2020-05-06Кемерово</v>
      </c>
    </row>
    <row r="116" spans="1:7" ht="14.25" customHeight="1" x14ac:dyDescent="0.3">
      <c r="A116" s="18">
        <v>43957</v>
      </c>
      <c r="B116" s="5" t="s">
        <v>20</v>
      </c>
      <c r="C116" t="s">
        <v>147</v>
      </c>
      <c r="D116" s="5">
        <v>19</v>
      </c>
      <c r="E116" s="5">
        <v>1509</v>
      </c>
      <c r="F116" s="5">
        <v>1374</v>
      </c>
      <c r="G116" t="str">
        <f t="shared" si="1"/>
        <v>2020-05-06Краснодар</v>
      </c>
    </row>
    <row r="117" spans="1:7" ht="14.25" customHeight="1" x14ac:dyDescent="0.3">
      <c r="A117" s="18">
        <v>43957</v>
      </c>
      <c r="B117" s="5" t="s">
        <v>22</v>
      </c>
      <c r="C117" t="s">
        <v>148</v>
      </c>
      <c r="D117" s="5">
        <v>54</v>
      </c>
      <c r="E117" s="5">
        <v>13406</v>
      </c>
      <c r="F117" s="5">
        <v>12518</v>
      </c>
      <c r="G117" t="str">
        <f t="shared" si="1"/>
        <v>2020-05-06Москва Восток</v>
      </c>
    </row>
    <row r="118" spans="1:7" ht="14.25" customHeight="1" x14ac:dyDescent="0.3">
      <c r="A118" s="18">
        <v>43957</v>
      </c>
      <c r="B118" s="5" t="s">
        <v>21</v>
      </c>
      <c r="C118" t="s">
        <v>149</v>
      </c>
      <c r="D118" s="5">
        <v>59</v>
      </c>
      <c r="E118" s="5">
        <v>14103</v>
      </c>
      <c r="F118" s="5">
        <v>13118</v>
      </c>
      <c r="G118" t="str">
        <f t="shared" si="1"/>
        <v>2020-05-06Москва Запад</v>
      </c>
    </row>
    <row r="119" spans="1:7" ht="14.25" customHeight="1" x14ac:dyDescent="0.3">
      <c r="A119" s="18">
        <v>43957</v>
      </c>
      <c r="B119" s="5" t="s">
        <v>13</v>
      </c>
      <c r="C119" t="s">
        <v>150</v>
      </c>
      <c r="D119" s="5">
        <v>19</v>
      </c>
      <c r="E119" s="5">
        <v>1499</v>
      </c>
      <c r="F119" s="5">
        <v>1323</v>
      </c>
      <c r="G119" t="str">
        <f t="shared" si="1"/>
        <v>2020-05-06Нижний Новгород</v>
      </c>
    </row>
    <row r="120" spans="1:7" ht="14.25" customHeight="1" x14ac:dyDescent="0.3">
      <c r="A120" s="18">
        <v>43957</v>
      </c>
      <c r="B120" s="5" t="s">
        <v>23</v>
      </c>
      <c r="C120" t="s">
        <v>151</v>
      </c>
      <c r="D120" s="5">
        <v>15</v>
      </c>
      <c r="E120" s="5">
        <v>701</v>
      </c>
      <c r="F120" s="5">
        <v>611</v>
      </c>
      <c r="G120" t="str">
        <f t="shared" si="1"/>
        <v>2020-05-06Новосибирск</v>
      </c>
    </row>
    <row r="121" spans="1:7" ht="14.25" customHeight="1" x14ac:dyDescent="0.3">
      <c r="A121" s="18">
        <v>43957</v>
      </c>
      <c r="B121" s="5" t="s">
        <v>18</v>
      </c>
      <c r="C121" t="s">
        <v>152</v>
      </c>
      <c r="D121" s="5">
        <v>15</v>
      </c>
      <c r="E121" s="5">
        <v>839</v>
      </c>
      <c r="F121" s="5">
        <v>733</v>
      </c>
      <c r="G121" t="str">
        <f t="shared" si="1"/>
        <v>2020-05-06Пермь</v>
      </c>
    </row>
    <row r="122" spans="1:7" ht="14.25" customHeight="1" x14ac:dyDescent="0.3">
      <c r="A122" s="18">
        <v>43957</v>
      </c>
      <c r="B122" s="5" t="s">
        <v>19</v>
      </c>
      <c r="C122" t="s">
        <v>153</v>
      </c>
      <c r="D122" s="5">
        <v>15</v>
      </c>
      <c r="E122" s="5">
        <v>467</v>
      </c>
      <c r="F122" s="5">
        <v>389</v>
      </c>
      <c r="G122" t="str">
        <f t="shared" si="1"/>
        <v>2020-05-06Ростов-на-Дону</v>
      </c>
    </row>
    <row r="123" spans="1:7" ht="14.25" customHeight="1" x14ac:dyDescent="0.3">
      <c r="A123" s="18">
        <v>43957</v>
      </c>
      <c r="B123" s="5" t="s">
        <v>15</v>
      </c>
      <c r="C123" t="s">
        <v>154</v>
      </c>
      <c r="D123" s="5">
        <v>125</v>
      </c>
      <c r="E123" s="5">
        <v>20218</v>
      </c>
      <c r="F123" s="5">
        <v>18647</v>
      </c>
      <c r="G123" t="str">
        <f t="shared" si="1"/>
        <v>2020-05-06Санкт-Петербург Север</v>
      </c>
    </row>
    <row r="124" spans="1:7" ht="14.25" customHeight="1" x14ac:dyDescent="0.3">
      <c r="A124" s="18">
        <v>43957</v>
      </c>
      <c r="B124" s="5" t="s">
        <v>14</v>
      </c>
      <c r="C124" t="s">
        <v>155</v>
      </c>
      <c r="D124" s="5">
        <v>129</v>
      </c>
      <c r="E124" s="5">
        <v>16376</v>
      </c>
      <c r="F124" s="5">
        <v>15197</v>
      </c>
      <c r="G124" t="str">
        <f t="shared" si="1"/>
        <v>2020-05-06Санкт-Петербург Юг</v>
      </c>
    </row>
    <row r="125" spans="1:7" ht="14.25" customHeight="1" x14ac:dyDescent="0.3">
      <c r="A125" s="18">
        <v>43957</v>
      </c>
      <c r="B125" s="5" t="s">
        <v>12</v>
      </c>
      <c r="C125" t="s">
        <v>156</v>
      </c>
      <c r="D125" s="5">
        <v>10</v>
      </c>
      <c r="E125" s="5">
        <v>465</v>
      </c>
      <c r="F125" s="5">
        <v>390</v>
      </c>
      <c r="G125" t="str">
        <f t="shared" si="1"/>
        <v>2020-05-06Тольятти</v>
      </c>
    </row>
    <row r="126" spans="1:7" ht="14.25" customHeight="1" x14ac:dyDescent="0.3">
      <c r="A126" s="18">
        <v>43958</v>
      </c>
      <c r="B126" s="5" t="s">
        <v>16</v>
      </c>
      <c r="C126" t="s">
        <v>157</v>
      </c>
      <c r="D126" s="5">
        <v>36</v>
      </c>
      <c r="E126" s="5">
        <v>4826</v>
      </c>
      <c r="F126" s="5">
        <v>4426</v>
      </c>
      <c r="G126" t="str">
        <f t="shared" si="1"/>
        <v>2020-05-07Волгоград</v>
      </c>
    </row>
    <row r="127" spans="1:7" ht="14.25" customHeight="1" x14ac:dyDescent="0.3">
      <c r="A127" s="18">
        <v>43958</v>
      </c>
      <c r="B127" s="5" t="s">
        <v>11</v>
      </c>
      <c r="C127" t="s">
        <v>158</v>
      </c>
      <c r="D127" s="5">
        <v>31</v>
      </c>
      <c r="E127" s="5">
        <v>4903</v>
      </c>
      <c r="F127" s="5">
        <v>4527</v>
      </c>
      <c r="G127" t="str">
        <f t="shared" si="1"/>
        <v>2020-05-07Екатеринбург</v>
      </c>
    </row>
    <row r="128" spans="1:7" ht="14.25" customHeight="1" x14ac:dyDescent="0.3">
      <c r="A128" s="18">
        <v>43958</v>
      </c>
      <c r="B128" s="5" t="s">
        <v>17</v>
      </c>
      <c r="C128" t="s">
        <v>159</v>
      </c>
      <c r="D128" s="5">
        <v>21</v>
      </c>
      <c r="E128" s="5">
        <v>1879</v>
      </c>
      <c r="F128" s="5">
        <v>1695</v>
      </c>
      <c r="G128" t="str">
        <f t="shared" si="1"/>
        <v>2020-05-07Казань</v>
      </c>
    </row>
    <row r="129" spans="1:7" ht="14.25" customHeight="1" x14ac:dyDescent="0.3">
      <c r="A129" s="18">
        <v>43958</v>
      </c>
      <c r="B129" s="5" t="s">
        <v>10</v>
      </c>
      <c r="C129" t="s">
        <v>160</v>
      </c>
      <c r="D129" s="5">
        <v>21</v>
      </c>
      <c r="E129" s="5">
        <v>1542</v>
      </c>
      <c r="F129" s="5">
        <v>1405</v>
      </c>
      <c r="G129" t="str">
        <f t="shared" si="1"/>
        <v>2020-05-07Кемерово</v>
      </c>
    </row>
    <row r="130" spans="1:7" ht="14.25" customHeight="1" x14ac:dyDescent="0.3">
      <c r="A130" s="18">
        <v>43958</v>
      </c>
      <c r="B130" s="5" t="s">
        <v>20</v>
      </c>
      <c r="C130" t="s">
        <v>161</v>
      </c>
      <c r="D130" s="5">
        <v>19</v>
      </c>
      <c r="E130" s="5">
        <v>1580</v>
      </c>
      <c r="F130" s="5">
        <v>1435</v>
      </c>
      <c r="G130" t="str">
        <f t="shared" si="1"/>
        <v>2020-05-07Краснодар</v>
      </c>
    </row>
    <row r="131" spans="1:7" ht="14.25" customHeight="1" x14ac:dyDescent="0.3">
      <c r="A131" s="18">
        <v>43958</v>
      </c>
      <c r="B131" s="5" t="s">
        <v>22</v>
      </c>
      <c r="C131" t="s">
        <v>162</v>
      </c>
      <c r="D131" s="5">
        <v>54</v>
      </c>
      <c r="E131" s="5">
        <v>12743</v>
      </c>
      <c r="F131" s="5">
        <v>11858</v>
      </c>
      <c r="G131" t="str">
        <f t="shared" ref="G131:G194" si="2">TEXT(A131,"yyyy-mm-dd") &amp; TRIM(B131)</f>
        <v>2020-05-07Москва Восток</v>
      </c>
    </row>
    <row r="132" spans="1:7" ht="14.25" customHeight="1" x14ac:dyDescent="0.3">
      <c r="A132" s="18">
        <v>43958</v>
      </c>
      <c r="B132" s="5" t="s">
        <v>21</v>
      </c>
      <c r="C132" t="s">
        <v>163</v>
      </c>
      <c r="D132" s="5">
        <v>59</v>
      </c>
      <c r="E132" s="5">
        <v>13495</v>
      </c>
      <c r="F132" s="5">
        <v>12517</v>
      </c>
      <c r="G132" t="str">
        <f t="shared" si="2"/>
        <v>2020-05-07Москва Запад</v>
      </c>
    </row>
    <row r="133" spans="1:7" ht="14.25" customHeight="1" x14ac:dyDescent="0.3">
      <c r="A133" s="18">
        <v>43958</v>
      </c>
      <c r="B133" s="5" t="s">
        <v>13</v>
      </c>
      <c r="C133" t="s">
        <v>164</v>
      </c>
      <c r="D133" s="5">
        <v>19</v>
      </c>
      <c r="E133" s="5">
        <v>1530</v>
      </c>
      <c r="F133" s="5">
        <v>1338</v>
      </c>
      <c r="G133" t="str">
        <f t="shared" si="2"/>
        <v>2020-05-07Нижний Новгород</v>
      </c>
    </row>
    <row r="134" spans="1:7" ht="14.25" customHeight="1" x14ac:dyDescent="0.3">
      <c r="A134" s="18">
        <v>43958</v>
      </c>
      <c r="B134" s="5" t="s">
        <v>23</v>
      </c>
      <c r="C134" t="s">
        <v>165</v>
      </c>
      <c r="D134" s="5">
        <v>15</v>
      </c>
      <c r="E134" s="5">
        <v>676</v>
      </c>
      <c r="F134" s="5">
        <v>591</v>
      </c>
      <c r="G134" t="str">
        <f t="shared" si="2"/>
        <v>2020-05-07Новосибирск</v>
      </c>
    </row>
    <row r="135" spans="1:7" ht="14.25" customHeight="1" x14ac:dyDescent="0.3">
      <c r="A135" s="18">
        <v>43958</v>
      </c>
      <c r="B135" s="5" t="s">
        <v>18</v>
      </c>
      <c r="C135" t="s">
        <v>166</v>
      </c>
      <c r="D135" s="5">
        <v>15</v>
      </c>
      <c r="E135" s="5">
        <v>805</v>
      </c>
      <c r="F135" s="5">
        <v>703</v>
      </c>
      <c r="G135" t="str">
        <f t="shared" si="2"/>
        <v>2020-05-07Пермь</v>
      </c>
    </row>
    <row r="136" spans="1:7" ht="14.25" customHeight="1" x14ac:dyDescent="0.3">
      <c r="A136" s="18">
        <v>43958</v>
      </c>
      <c r="B136" s="5" t="s">
        <v>19</v>
      </c>
      <c r="C136" t="s">
        <v>167</v>
      </c>
      <c r="D136" s="5">
        <v>15</v>
      </c>
      <c r="E136" s="5">
        <v>480</v>
      </c>
      <c r="F136" s="5">
        <v>398</v>
      </c>
      <c r="G136" t="str">
        <f t="shared" si="2"/>
        <v>2020-05-07Ростов-на-Дону</v>
      </c>
    </row>
    <row r="137" spans="1:7" ht="14.25" customHeight="1" x14ac:dyDescent="0.3">
      <c r="A137" s="18">
        <v>43958</v>
      </c>
      <c r="B137" s="5" t="s">
        <v>15</v>
      </c>
      <c r="C137" t="s">
        <v>168</v>
      </c>
      <c r="D137" s="5">
        <v>125</v>
      </c>
      <c r="E137" s="5">
        <v>18014</v>
      </c>
      <c r="F137" s="5">
        <v>16675</v>
      </c>
      <c r="G137" t="str">
        <f t="shared" si="2"/>
        <v>2020-05-07Санкт-Петербург Север</v>
      </c>
    </row>
    <row r="138" spans="1:7" ht="14.25" customHeight="1" x14ac:dyDescent="0.3">
      <c r="A138" s="18">
        <v>43958</v>
      </c>
      <c r="B138" s="5" t="s">
        <v>14</v>
      </c>
      <c r="C138" t="s">
        <v>169</v>
      </c>
      <c r="D138" s="5">
        <v>129</v>
      </c>
      <c r="E138" s="5">
        <v>14582</v>
      </c>
      <c r="F138" s="5">
        <v>13512</v>
      </c>
      <c r="G138" t="str">
        <f t="shared" si="2"/>
        <v>2020-05-07Санкт-Петербург Юг</v>
      </c>
    </row>
    <row r="139" spans="1:7" ht="14.25" customHeight="1" x14ac:dyDescent="0.3">
      <c r="A139" s="18">
        <v>43958</v>
      </c>
      <c r="B139" s="5" t="s">
        <v>12</v>
      </c>
      <c r="C139" t="s">
        <v>170</v>
      </c>
      <c r="D139" s="5">
        <v>10</v>
      </c>
      <c r="E139" s="5">
        <v>563</v>
      </c>
      <c r="F139" s="5">
        <v>486</v>
      </c>
      <c r="G139" t="str">
        <f t="shared" si="2"/>
        <v>2020-05-07Тольятти</v>
      </c>
    </row>
    <row r="140" spans="1:7" ht="14.25" customHeight="1" x14ac:dyDescent="0.3">
      <c r="A140" s="18">
        <v>43959</v>
      </c>
      <c r="B140" s="5" t="s">
        <v>16</v>
      </c>
      <c r="C140" t="s">
        <v>171</v>
      </c>
      <c r="D140" s="5">
        <v>36</v>
      </c>
      <c r="E140" s="5">
        <v>4199</v>
      </c>
      <c r="F140" s="5">
        <v>3867</v>
      </c>
      <c r="G140" t="str">
        <f t="shared" si="2"/>
        <v>2020-05-08Волгоград</v>
      </c>
    </row>
    <row r="141" spans="1:7" ht="14.25" customHeight="1" x14ac:dyDescent="0.3">
      <c r="A141" s="18">
        <v>43959</v>
      </c>
      <c r="B141" s="5" t="s">
        <v>11</v>
      </c>
      <c r="C141" t="s">
        <v>172</v>
      </c>
      <c r="D141" s="5">
        <v>31</v>
      </c>
      <c r="E141" s="5">
        <v>4635</v>
      </c>
      <c r="F141" s="5">
        <v>4266</v>
      </c>
      <c r="G141" t="str">
        <f t="shared" si="2"/>
        <v>2020-05-08Екатеринбург</v>
      </c>
    </row>
    <row r="142" spans="1:7" ht="14.25" customHeight="1" x14ac:dyDescent="0.3">
      <c r="A142" s="18">
        <v>43959</v>
      </c>
      <c r="B142" s="5" t="s">
        <v>17</v>
      </c>
      <c r="C142" t="s">
        <v>173</v>
      </c>
      <c r="D142" s="5">
        <v>21</v>
      </c>
      <c r="E142" s="5">
        <v>1957</v>
      </c>
      <c r="F142" s="5">
        <v>1755</v>
      </c>
      <c r="G142" t="str">
        <f t="shared" si="2"/>
        <v>2020-05-08Казань</v>
      </c>
    </row>
    <row r="143" spans="1:7" ht="14.25" customHeight="1" x14ac:dyDescent="0.3">
      <c r="A143" s="18">
        <v>43959</v>
      </c>
      <c r="B143" s="5" t="s">
        <v>10</v>
      </c>
      <c r="C143" t="s">
        <v>174</v>
      </c>
      <c r="D143" s="5">
        <v>21</v>
      </c>
      <c r="E143" s="5">
        <v>1646</v>
      </c>
      <c r="F143" s="5">
        <v>1492</v>
      </c>
      <c r="G143" t="str">
        <f t="shared" si="2"/>
        <v>2020-05-08Кемерово</v>
      </c>
    </row>
    <row r="144" spans="1:7" ht="14.25" customHeight="1" x14ac:dyDescent="0.3">
      <c r="A144" s="18">
        <v>43959</v>
      </c>
      <c r="B144" s="5" t="s">
        <v>20</v>
      </c>
      <c r="C144" t="s">
        <v>175</v>
      </c>
      <c r="D144" s="5">
        <v>19</v>
      </c>
      <c r="E144" s="5">
        <v>1520</v>
      </c>
      <c r="F144" s="5">
        <v>1380</v>
      </c>
      <c r="G144" t="str">
        <f t="shared" si="2"/>
        <v>2020-05-08Краснодар</v>
      </c>
    </row>
    <row r="145" spans="1:7" ht="14.25" customHeight="1" x14ac:dyDescent="0.3">
      <c r="A145" s="18">
        <v>43959</v>
      </c>
      <c r="B145" s="5" t="s">
        <v>22</v>
      </c>
      <c r="C145" t="s">
        <v>176</v>
      </c>
      <c r="D145" s="5">
        <v>54</v>
      </c>
      <c r="E145" s="5">
        <v>13563</v>
      </c>
      <c r="F145" s="5">
        <v>12604</v>
      </c>
      <c r="G145" t="str">
        <f t="shared" si="2"/>
        <v>2020-05-08Москва Восток</v>
      </c>
    </row>
    <row r="146" spans="1:7" ht="14.25" customHeight="1" x14ac:dyDescent="0.3">
      <c r="A146" s="18">
        <v>43959</v>
      </c>
      <c r="B146" s="5" t="s">
        <v>21</v>
      </c>
      <c r="C146" t="s">
        <v>177</v>
      </c>
      <c r="D146" s="5">
        <v>59</v>
      </c>
      <c r="E146" s="5">
        <v>14098</v>
      </c>
      <c r="F146" s="5">
        <v>13106</v>
      </c>
      <c r="G146" t="str">
        <f t="shared" si="2"/>
        <v>2020-05-08Москва Запад</v>
      </c>
    </row>
    <row r="147" spans="1:7" ht="14.25" customHeight="1" x14ac:dyDescent="0.3">
      <c r="A147" s="18">
        <v>43959</v>
      </c>
      <c r="B147" s="5" t="s">
        <v>13</v>
      </c>
      <c r="C147" t="s">
        <v>178</v>
      </c>
      <c r="D147" s="5">
        <v>19</v>
      </c>
      <c r="E147" s="5">
        <v>1522</v>
      </c>
      <c r="F147" s="5">
        <v>1340</v>
      </c>
      <c r="G147" t="str">
        <f t="shared" si="2"/>
        <v>2020-05-08Нижний Новгород</v>
      </c>
    </row>
    <row r="148" spans="1:7" ht="14.25" customHeight="1" x14ac:dyDescent="0.3">
      <c r="A148" s="18">
        <v>43959</v>
      </c>
      <c r="B148" s="5" t="s">
        <v>23</v>
      </c>
      <c r="C148" t="s">
        <v>179</v>
      </c>
      <c r="D148" s="5">
        <v>15</v>
      </c>
      <c r="E148" s="5">
        <v>703</v>
      </c>
      <c r="F148" s="5">
        <v>609</v>
      </c>
      <c r="G148" t="str">
        <f t="shared" si="2"/>
        <v>2020-05-08Новосибирск</v>
      </c>
    </row>
    <row r="149" spans="1:7" ht="14.25" customHeight="1" x14ac:dyDescent="0.3">
      <c r="A149" s="18">
        <v>43959</v>
      </c>
      <c r="B149" s="5" t="s">
        <v>18</v>
      </c>
      <c r="C149" t="s">
        <v>180</v>
      </c>
      <c r="D149" s="5">
        <v>15</v>
      </c>
      <c r="E149" s="5">
        <v>879</v>
      </c>
      <c r="F149" s="5">
        <v>768</v>
      </c>
      <c r="G149" t="str">
        <f t="shared" si="2"/>
        <v>2020-05-08Пермь</v>
      </c>
    </row>
    <row r="150" spans="1:7" ht="14.25" customHeight="1" x14ac:dyDescent="0.3">
      <c r="A150" s="18">
        <v>43959</v>
      </c>
      <c r="B150" s="5" t="s">
        <v>19</v>
      </c>
      <c r="C150" t="s">
        <v>181</v>
      </c>
      <c r="D150" s="5">
        <v>15</v>
      </c>
      <c r="E150" s="5">
        <v>492</v>
      </c>
      <c r="F150" s="5">
        <v>412</v>
      </c>
      <c r="G150" t="str">
        <f t="shared" si="2"/>
        <v>2020-05-08Ростов-на-Дону</v>
      </c>
    </row>
    <row r="151" spans="1:7" ht="14.25" customHeight="1" x14ac:dyDescent="0.3">
      <c r="A151" s="18">
        <v>43959</v>
      </c>
      <c r="B151" s="5" t="s">
        <v>15</v>
      </c>
      <c r="C151" t="s">
        <v>182</v>
      </c>
      <c r="D151" s="5">
        <v>125</v>
      </c>
      <c r="E151" s="5">
        <v>24620</v>
      </c>
      <c r="F151" s="5">
        <v>22641</v>
      </c>
      <c r="G151" t="str">
        <f t="shared" si="2"/>
        <v>2020-05-08Санкт-Петербург Север</v>
      </c>
    </row>
    <row r="152" spans="1:7" ht="14.25" customHeight="1" x14ac:dyDescent="0.3">
      <c r="A152" s="18">
        <v>43959</v>
      </c>
      <c r="B152" s="5" t="s">
        <v>14</v>
      </c>
      <c r="C152" t="s">
        <v>183</v>
      </c>
      <c r="D152" s="5">
        <v>129</v>
      </c>
      <c r="E152" s="5">
        <v>20452</v>
      </c>
      <c r="F152" s="5">
        <v>18857</v>
      </c>
      <c r="G152" t="str">
        <f t="shared" si="2"/>
        <v>2020-05-08Санкт-Петербург Юг</v>
      </c>
    </row>
    <row r="153" spans="1:7" ht="14.25" customHeight="1" x14ac:dyDescent="0.3">
      <c r="A153" s="18">
        <v>43959</v>
      </c>
      <c r="B153" s="5" t="s">
        <v>12</v>
      </c>
      <c r="C153" t="s">
        <v>184</v>
      </c>
      <c r="D153" s="5">
        <v>10</v>
      </c>
      <c r="E153" s="5">
        <v>638</v>
      </c>
      <c r="F153" s="5">
        <v>547</v>
      </c>
      <c r="G153" t="str">
        <f t="shared" si="2"/>
        <v>2020-05-08Тольятти</v>
      </c>
    </row>
    <row r="154" spans="1:7" ht="14.25" customHeight="1" x14ac:dyDescent="0.3">
      <c r="A154" s="18">
        <v>43960</v>
      </c>
      <c r="B154" s="5" t="s">
        <v>16</v>
      </c>
      <c r="C154" t="s">
        <v>185</v>
      </c>
      <c r="D154" s="5">
        <v>36</v>
      </c>
      <c r="E154" s="5">
        <v>5413</v>
      </c>
      <c r="F154" s="5">
        <v>4959</v>
      </c>
      <c r="G154" t="str">
        <f t="shared" si="2"/>
        <v>2020-05-09Волгоград</v>
      </c>
    </row>
    <row r="155" spans="1:7" ht="14.25" customHeight="1" x14ac:dyDescent="0.3">
      <c r="A155" s="18">
        <v>43960</v>
      </c>
      <c r="B155" s="5" t="s">
        <v>11</v>
      </c>
      <c r="C155" t="s">
        <v>186</v>
      </c>
      <c r="D155" s="5">
        <v>31</v>
      </c>
      <c r="E155" s="5">
        <v>4556</v>
      </c>
      <c r="F155" s="5">
        <v>4220</v>
      </c>
      <c r="G155" t="str">
        <f t="shared" si="2"/>
        <v>2020-05-09Екатеринбург</v>
      </c>
    </row>
    <row r="156" spans="1:7" ht="14.25" customHeight="1" x14ac:dyDescent="0.3">
      <c r="A156" s="18">
        <v>43960</v>
      </c>
      <c r="B156" s="5" t="s">
        <v>17</v>
      </c>
      <c r="C156" t="s">
        <v>187</v>
      </c>
      <c r="D156" s="5">
        <v>21</v>
      </c>
      <c r="E156" s="5">
        <v>1891</v>
      </c>
      <c r="F156" s="5">
        <v>1709</v>
      </c>
      <c r="G156" t="str">
        <f t="shared" si="2"/>
        <v>2020-05-09Казань</v>
      </c>
    </row>
    <row r="157" spans="1:7" ht="14.25" customHeight="1" x14ac:dyDescent="0.3">
      <c r="A157" s="18">
        <v>43960</v>
      </c>
      <c r="B157" s="5" t="s">
        <v>10</v>
      </c>
      <c r="C157" t="s">
        <v>188</v>
      </c>
      <c r="D157" s="5">
        <v>21</v>
      </c>
      <c r="E157" s="5">
        <v>1735</v>
      </c>
      <c r="F157" s="5">
        <v>1568</v>
      </c>
      <c r="G157" t="str">
        <f t="shared" si="2"/>
        <v>2020-05-09Кемерово</v>
      </c>
    </row>
    <row r="158" spans="1:7" ht="14.25" customHeight="1" x14ac:dyDescent="0.3">
      <c r="A158" s="18">
        <v>43960</v>
      </c>
      <c r="B158" s="5" t="s">
        <v>20</v>
      </c>
      <c r="C158" t="s">
        <v>189</v>
      </c>
      <c r="D158" s="5">
        <v>19</v>
      </c>
      <c r="E158" s="5">
        <v>1542</v>
      </c>
      <c r="F158" s="5">
        <v>1412</v>
      </c>
      <c r="G158" t="str">
        <f t="shared" si="2"/>
        <v>2020-05-09Краснодар</v>
      </c>
    </row>
    <row r="159" spans="1:7" ht="14.25" customHeight="1" x14ac:dyDescent="0.3">
      <c r="A159" s="18">
        <v>43960</v>
      </c>
      <c r="B159" s="5" t="s">
        <v>22</v>
      </c>
      <c r="C159" t="s">
        <v>190</v>
      </c>
      <c r="D159" s="5">
        <v>54</v>
      </c>
      <c r="E159" s="5">
        <v>11288</v>
      </c>
      <c r="F159" s="5">
        <v>10492</v>
      </c>
      <c r="G159" t="str">
        <f t="shared" si="2"/>
        <v>2020-05-09Москва Восток</v>
      </c>
    </row>
    <row r="160" spans="1:7" ht="14.25" customHeight="1" x14ac:dyDescent="0.3">
      <c r="A160" s="18">
        <v>43960</v>
      </c>
      <c r="B160" s="5" t="s">
        <v>21</v>
      </c>
      <c r="C160" t="s">
        <v>191</v>
      </c>
      <c r="D160" s="5">
        <v>59</v>
      </c>
      <c r="E160" s="5">
        <v>12016</v>
      </c>
      <c r="F160" s="5">
        <v>11137</v>
      </c>
      <c r="G160" t="str">
        <f t="shared" si="2"/>
        <v>2020-05-09Москва Запад</v>
      </c>
    </row>
    <row r="161" spans="1:7" ht="14.25" customHeight="1" x14ac:dyDescent="0.3">
      <c r="A161" s="18">
        <v>43960</v>
      </c>
      <c r="B161" s="5" t="s">
        <v>13</v>
      </c>
      <c r="C161" t="s">
        <v>192</v>
      </c>
      <c r="D161" s="5">
        <v>19</v>
      </c>
      <c r="E161" s="5">
        <v>1851</v>
      </c>
      <c r="F161" s="5">
        <v>1635</v>
      </c>
      <c r="G161" t="str">
        <f t="shared" si="2"/>
        <v>2020-05-09Нижний Новгород</v>
      </c>
    </row>
    <row r="162" spans="1:7" ht="14.25" customHeight="1" x14ac:dyDescent="0.3">
      <c r="A162" s="18">
        <v>43960</v>
      </c>
      <c r="B162" s="5" t="s">
        <v>23</v>
      </c>
      <c r="C162" t="s">
        <v>193</v>
      </c>
      <c r="D162" s="5">
        <v>15</v>
      </c>
      <c r="E162" s="5">
        <v>654</v>
      </c>
      <c r="F162" s="5">
        <v>570</v>
      </c>
      <c r="G162" t="str">
        <f t="shared" si="2"/>
        <v>2020-05-09Новосибирск</v>
      </c>
    </row>
    <row r="163" spans="1:7" ht="14.25" customHeight="1" x14ac:dyDescent="0.3">
      <c r="A163" s="18">
        <v>43960</v>
      </c>
      <c r="B163" s="5" t="s">
        <v>18</v>
      </c>
      <c r="C163" t="s">
        <v>194</v>
      </c>
      <c r="D163" s="5">
        <v>15</v>
      </c>
      <c r="E163" s="5">
        <v>849</v>
      </c>
      <c r="F163" s="5">
        <v>740</v>
      </c>
      <c r="G163" t="str">
        <f t="shared" si="2"/>
        <v>2020-05-09Пермь</v>
      </c>
    </row>
    <row r="164" spans="1:7" ht="14.25" customHeight="1" x14ac:dyDescent="0.3">
      <c r="A164" s="18">
        <v>43960</v>
      </c>
      <c r="B164" s="5" t="s">
        <v>19</v>
      </c>
      <c r="C164" t="s">
        <v>195</v>
      </c>
      <c r="D164" s="5">
        <v>15</v>
      </c>
      <c r="E164" s="5">
        <v>623</v>
      </c>
      <c r="F164" s="5">
        <v>535</v>
      </c>
      <c r="G164" t="str">
        <f t="shared" si="2"/>
        <v>2020-05-09Ростов-на-Дону</v>
      </c>
    </row>
    <row r="165" spans="1:7" ht="14.25" customHeight="1" x14ac:dyDescent="0.3">
      <c r="A165" s="18">
        <v>43960</v>
      </c>
      <c r="B165" s="5" t="s">
        <v>15</v>
      </c>
      <c r="C165" t="s">
        <v>196</v>
      </c>
      <c r="D165" s="5">
        <v>125</v>
      </c>
      <c r="E165" s="5">
        <v>20132</v>
      </c>
      <c r="F165" s="5">
        <v>18617</v>
      </c>
      <c r="G165" t="str">
        <f t="shared" si="2"/>
        <v>2020-05-09Санкт-Петербург Север</v>
      </c>
    </row>
    <row r="166" spans="1:7" ht="14.25" customHeight="1" x14ac:dyDescent="0.3">
      <c r="A166" s="18">
        <v>43960</v>
      </c>
      <c r="B166" s="5" t="s">
        <v>14</v>
      </c>
      <c r="C166" t="s">
        <v>197</v>
      </c>
      <c r="D166" s="5">
        <v>129</v>
      </c>
      <c r="E166" s="5">
        <v>16420</v>
      </c>
      <c r="F166" s="5">
        <v>15169</v>
      </c>
      <c r="G166" t="str">
        <f t="shared" si="2"/>
        <v>2020-05-09Санкт-Петербург Юг</v>
      </c>
    </row>
    <row r="167" spans="1:7" ht="14.25" customHeight="1" x14ac:dyDescent="0.3">
      <c r="A167" s="18">
        <v>43960</v>
      </c>
      <c r="B167" s="5" t="s">
        <v>12</v>
      </c>
      <c r="C167" t="s">
        <v>198</v>
      </c>
      <c r="D167" s="5">
        <v>10</v>
      </c>
      <c r="E167" s="5">
        <v>644</v>
      </c>
      <c r="F167" s="5">
        <v>559</v>
      </c>
      <c r="G167" t="str">
        <f t="shared" si="2"/>
        <v>2020-05-09Тольятти</v>
      </c>
    </row>
    <row r="168" spans="1:7" ht="14.25" customHeight="1" x14ac:dyDescent="0.3">
      <c r="A168" s="18">
        <v>43961</v>
      </c>
      <c r="B168" s="5" t="s">
        <v>16</v>
      </c>
      <c r="C168" t="s">
        <v>199</v>
      </c>
      <c r="D168" s="5">
        <v>36</v>
      </c>
      <c r="E168" s="5">
        <v>5746</v>
      </c>
      <c r="F168" s="5">
        <v>5277</v>
      </c>
      <c r="G168" t="str">
        <f t="shared" si="2"/>
        <v>2020-05-10Волгоград</v>
      </c>
    </row>
    <row r="169" spans="1:7" ht="14.25" customHeight="1" x14ac:dyDescent="0.3">
      <c r="A169" s="18">
        <v>43961</v>
      </c>
      <c r="B169" s="5" t="s">
        <v>11</v>
      </c>
      <c r="C169" t="s">
        <v>200</v>
      </c>
      <c r="D169" s="5">
        <v>31</v>
      </c>
      <c r="E169" s="5">
        <v>5495</v>
      </c>
      <c r="F169" s="5">
        <v>5093</v>
      </c>
      <c r="G169" t="str">
        <f t="shared" si="2"/>
        <v>2020-05-10Екатеринбург</v>
      </c>
    </row>
    <row r="170" spans="1:7" ht="14.25" customHeight="1" x14ac:dyDescent="0.3">
      <c r="A170" s="18">
        <v>43961</v>
      </c>
      <c r="B170" s="5" t="s">
        <v>17</v>
      </c>
      <c r="C170" t="s">
        <v>201</v>
      </c>
      <c r="D170" s="5">
        <v>21</v>
      </c>
      <c r="E170" s="5">
        <v>2120</v>
      </c>
      <c r="F170" s="5">
        <v>1921</v>
      </c>
      <c r="G170" t="str">
        <f t="shared" si="2"/>
        <v>2020-05-10Казань</v>
      </c>
    </row>
    <row r="171" spans="1:7" ht="14.25" customHeight="1" x14ac:dyDescent="0.3">
      <c r="A171" s="18">
        <v>43961</v>
      </c>
      <c r="B171" s="5" t="s">
        <v>10</v>
      </c>
      <c r="C171" t="s">
        <v>202</v>
      </c>
      <c r="D171" s="5">
        <v>21</v>
      </c>
      <c r="E171" s="5">
        <v>2016</v>
      </c>
      <c r="F171" s="5">
        <v>1846</v>
      </c>
      <c r="G171" t="str">
        <f t="shared" si="2"/>
        <v>2020-05-10Кемерово</v>
      </c>
    </row>
    <row r="172" spans="1:7" ht="14.25" customHeight="1" x14ac:dyDescent="0.3">
      <c r="A172" s="18">
        <v>43961</v>
      </c>
      <c r="B172" s="5" t="s">
        <v>20</v>
      </c>
      <c r="C172" t="s">
        <v>203</v>
      </c>
      <c r="D172" s="5">
        <v>19</v>
      </c>
      <c r="E172" s="5">
        <v>1836</v>
      </c>
      <c r="F172" s="5">
        <v>1680</v>
      </c>
      <c r="G172" t="str">
        <f t="shared" si="2"/>
        <v>2020-05-10Краснодар</v>
      </c>
    </row>
    <row r="173" spans="1:7" ht="14.25" customHeight="1" x14ac:dyDescent="0.3">
      <c r="A173" s="18">
        <v>43961</v>
      </c>
      <c r="B173" s="5" t="s">
        <v>22</v>
      </c>
      <c r="C173" t="s">
        <v>204</v>
      </c>
      <c r="D173" s="5">
        <v>54</v>
      </c>
      <c r="E173" s="5">
        <v>13832</v>
      </c>
      <c r="F173" s="5">
        <v>12864</v>
      </c>
      <c r="G173" t="str">
        <f t="shared" si="2"/>
        <v>2020-05-10Москва Восток</v>
      </c>
    </row>
    <row r="174" spans="1:7" ht="14.25" customHeight="1" x14ac:dyDescent="0.3">
      <c r="A174" s="18">
        <v>43961</v>
      </c>
      <c r="B174" s="5" t="s">
        <v>21</v>
      </c>
      <c r="C174" t="s">
        <v>205</v>
      </c>
      <c r="D174" s="5">
        <v>59</v>
      </c>
      <c r="E174" s="5">
        <v>14569</v>
      </c>
      <c r="F174" s="5">
        <v>13566</v>
      </c>
      <c r="G174" t="str">
        <f t="shared" si="2"/>
        <v>2020-05-10Москва Запад</v>
      </c>
    </row>
    <row r="175" spans="1:7" ht="14.25" customHeight="1" x14ac:dyDescent="0.3">
      <c r="A175" s="18">
        <v>43961</v>
      </c>
      <c r="B175" s="5" t="s">
        <v>13</v>
      </c>
      <c r="C175" t="s">
        <v>206</v>
      </c>
      <c r="D175" s="5">
        <v>19</v>
      </c>
      <c r="E175" s="5">
        <v>1848</v>
      </c>
      <c r="F175" s="5">
        <v>1649</v>
      </c>
      <c r="G175" t="str">
        <f t="shared" si="2"/>
        <v>2020-05-10Нижний Новгород</v>
      </c>
    </row>
    <row r="176" spans="1:7" ht="14.25" customHeight="1" x14ac:dyDescent="0.3">
      <c r="A176" s="18">
        <v>43961</v>
      </c>
      <c r="B176" s="5" t="s">
        <v>23</v>
      </c>
      <c r="C176" t="s">
        <v>207</v>
      </c>
      <c r="D176" s="5">
        <v>15</v>
      </c>
      <c r="E176" s="5">
        <v>792</v>
      </c>
      <c r="F176" s="5">
        <v>695</v>
      </c>
      <c r="G176" t="str">
        <f t="shared" si="2"/>
        <v>2020-05-10Новосибирск</v>
      </c>
    </row>
    <row r="177" spans="1:7" ht="14.25" customHeight="1" x14ac:dyDescent="0.3">
      <c r="A177" s="18">
        <v>43961</v>
      </c>
      <c r="B177" s="5" t="s">
        <v>18</v>
      </c>
      <c r="C177" t="s">
        <v>208</v>
      </c>
      <c r="D177" s="5">
        <v>15</v>
      </c>
      <c r="E177" s="5">
        <v>950</v>
      </c>
      <c r="F177" s="5">
        <v>848</v>
      </c>
      <c r="G177" t="str">
        <f t="shared" si="2"/>
        <v>2020-05-10Пермь</v>
      </c>
    </row>
    <row r="178" spans="1:7" ht="14.25" customHeight="1" x14ac:dyDescent="0.3">
      <c r="A178" s="18">
        <v>43961</v>
      </c>
      <c r="B178" s="5" t="s">
        <v>19</v>
      </c>
      <c r="C178" t="s">
        <v>209</v>
      </c>
      <c r="D178" s="5">
        <v>15</v>
      </c>
      <c r="E178" s="5">
        <v>706</v>
      </c>
      <c r="F178" s="5">
        <v>608</v>
      </c>
      <c r="G178" t="str">
        <f t="shared" si="2"/>
        <v>2020-05-10Ростов-на-Дону</v>
      </c>
    </row>
    <row r="179" spans="1:7" ht="14.25" customHeight="1" x14ac:dyDescent="0.3">
      <c r="A179" s="18">
        <v>43961</v>
      </c>
      <c r="B179" s="5" t="s">
        <v>15</v>
      </c>
      <c r="C179" t="s">
        <v>210</v>
      </c>
      <c r="D179" s="5">
        <v>125</v>
      </c>
      <c r="E179" s="5">
        <v>20368</v>
      </c>
      <c r="F179" s="5">
        <v>18884</v>
      </c>
      <c r="G179" t="str">
        <f t="shared" si="2"/>
        <v>2020-05-10Санкт-Петербург Север</v>
      </c>
    </row>
    <row r="180" spans="1:7" ht="14.25" customHeight="1" x14ac:dyDescent="0.3">
      <c r="A180" s="18">
        <v>43961</v>
      </c>
      <c r="B180" s="5" t="s">
        <v>14</v>
      </c>
      <c r="C180" t="s">
        <v>211</v>
      </c>
      <c r="D180" s="5">
        <v>129</v>
      </c>
      <c r="E180" s="5">
        <v>16437</v>
      </c>
      <c r="F180" s="5">
        <v>15285</v>
      </c>
      <c r="G180" t="str">
        <f t="shared" si="2"/>
        <v>2020-05-10Санкт-Петербург Юг</v>
      </c>
    </row>
    <row r="181" spans="1:7" ht="14.25" customHeight="1" x14ac:dyDescent="0.3">
      <c r="A181" s="18">
        <v>43961</v>
      </c>
      <c r="B181" s="5" t="s">
        <v>12</v>
      </c>
      <c r="C181" t="s">
        <v>212</v>
      </c>
      <c r="D181" s="5">
        <v>10</v>
      </c>
      <c r="E181" s="5">
        <v>642</v>
      </c>
      <c r="F181" s="5">
        <v>556</v>
      </c>
      <c r="G181" t="str">
        <f t="shared" si="2"/>
        <v>2020-05-10Тольятти</v>
      </c>
    </row>
    <row r="182" spans="1:7" ht="14.25" customHeight="1" x14ac:dyDescent="0.3">
      <c r="A182" s="18">
        <v>43962</v>
      </c>
      <c r="B182" s="5" t="s">
        <v>16</v>
      </c>
      <c r="C182" t="s">
        <v>213</v>
      </c>
      <c r="D182" s="5">
        <v>36</v>
      </c>
      <c r="E182" s="5">
        <v>4150</v>
      </c>
      <c r="F182" s="5">
        <v>3838</v>
      </c>
      <c r="G182" t="str">
        <f t="shared" si="2"/>
        <v>2020-05-11Волгоград</v>
      </c>
    </row>
    <row r="183" spans="1:7" ht="14.25" customHeight="1" x14ac:dyDescent="0.3">
      <c r="A183" s="18">
        <v>43962</v>
      </c>
      <c r="B183" s="5" t="s">
        <v>11</v>
      </c>
      <c r="C183" t="s">
        <v>214</v>
      </c>
      <c r="D183" s="5">
        <v>31</v>
      </c>
      <c r="E183" s="5">
        <v>4826</v>
      </c>
      <c r="F183" s="5">
        <v>4483</v>
      </c>
      <c r="G183" t="str">
        <f t="shared" si="2"/>
        <v>2020-05-11Екатеринбург</v>
      </c>
    </row>
    <row r="184" spans="1:7" ht="14.25" customHeight="1" x14ac:dyDescent="0.3">
      <c r="A184" s="18">
        <v>43962</v>
      </c>
      <c r="B184" s="5" t="s">
        <v>17</v>
      </c>
      <c r="C184" t="s">
        <v>215</v>
      </c>
      <c r="D184" s="5">
        <v>21</v>
      </c>
      <c r="E184" s="5">
        <v>1916</v>
      </c>
      <c r="F184" s="5">
        <v>1733</v>
      </c>
      <c r="G184" t="str">
        <f t="shared" si="2"/>
        <v>2020-05-11Казань</v>
      </c>
    </row>
    <row r="185" spans="1:7" ht="14.25" customHeight="1" x14ac:dyDescent="0.3">
      <c r="A185" s="18">
        <v>43962</v>
      </c>
      <c r="B185" s="5" t="s">
        <v>10</v>
      </c>
      <c r="C185" t="s">
        <v>216</v>
      </c>
      <c r="D185" s="5">
        <v>21</v>
      </c>
      <c r="E185" s="5">
        <v>1597</v>
      </c>
      <c r="F185" s="5">
        <v>1457</v>
      </c>
      <c r="G185" t="str">
        <f t="shared" si="2"/>
        <v>2020-05-11Кемерово</v>
      </c>
    </row>
    <row r="186" spans="1:7" ht="14.25" customHeight="1" x14ac:dyDescent="0.3">
      <c r="A186" s="18">
        <v>43962</v>
      </c>
      <c r="B186" s="5" t="s">
        <v>20</v>
      </c>
      <c r="C186" t="s">
        <v>217</v>
      </c>
      <c r="D186" s="5">
        <v>19</v>
      </c>
      <c r="E186" s="5">
        <v>1527</v>
      </c>
      <c r="F186" s="5">
        <v>1389</v>
      </c>
      <c r="G186" t="str">
        <f t="shared" si="2"/>
        <v>2020-05-11Краснодар</v>
      </c>
    </row>
    <row r="187" spans="1:7" ht="14.25" customHeight="1" x14ac:dyDescent="0.3">
      <c r="A187" s="18">
        <v>43962</v>
      </c>
      <c r="B187" s="5" t="s">
        <v>22</v>
      </c>
      <c r="C187" t="s">
        <v>218</v>
      </c>
      <c r="D187" s="5">
        <v>54</v>
      </c>
      <c r="E187" s="5">
        <v>10570</v>
      </c>
      <c r="F187" s="5">
        <v>9926</v>
      </c>
      <c r="G187" t="str">
        <f t="shared" si="2"/>
        <v>2020-05-11Москва Восток</v>
      </c>
    </row>
    <row r="188" spans="1:7" ht="14.25" customHeight="1" x14ac:dyDescent="0.3">
      <c r="A188" s="18">
        <v>43962</v>
      </c>
      <c r="B188" s="5" t="s">
        <v>21</v>
      </c>
      <c r="C188" t="s">
        <v>219</v>
      </c>
      <c r="D188" s="5">
        <v>60</v>
      </c>
      <c r="E188" s="5">
        <v>11100</v>
      </c>
      <c r="F188" s="5">
        <v>10407</v>
      </c>
      <c r="G188" t="str">
        <f t="shared" si="2"/>
        <v>2020-05-11Москва Запад</v>
      </c>
    </row>
    <row r="189" spans="1:7" ht="14.25" customHeight="1" x14ac:dyDescent="0.3">
      <c r="A189" s="18">
        <v>43962</v>
      </c>
      <c r="B189" s="5" t="s">
        <v>13</v>
      </c>
      <c r="C189" t="s">
        <v>220</v>
      </c>
      <c r="D189" s="5">
        <v>19</v>
      </c>
      <c r="E189" s="5">
        <v>2530</v>
      </c>
      <c r="F189" s="5">
        <v>2270</v>
      </c>
      <c r="G189" t="str">
        <f t="shared" si="2"/>
        <v>2020-05-11Нижний Новгород</v>
      </c>
    </row>
    <row r="190" spans="1:7" ht="14.25" customHeight="1" x14ac:dyDescent="0.3">
      <c r="A190" s="18">
        <v>43962</v>
      </c>
      <c r="B190" s="5" t="s">
        <v>23</v>
      </c>
      <c r="C190" t="s">
        <v>221</v>
      </c>
      <c r="D190" s="5">
        <v>15</v>
      </c>
      <c r="E190" s="5">
        <v>654</v>
      </c>
      <c r="F190" s="5">
        <v>564</v>
      </c>
      <c r="G190" t="str">
        <f t="shared" si="2"/>
        <v>2020-05-11Новосибирск</v>
      </c>
    </row>
    <row r="191" spans="1:7" ht="14.25" customHeight="1" x14ac:dyDescent="0.3">
      <c r="A191" s="18">
        <v>43962</v>
      </c>
      <c r="B191" s="5" t="s">
        <v>18</v>
      </c>
      <c r="C191" t="s">
        <v>222</v>
      </c>
      <c r="D191" s="5">
        <v>15</v>
      </c>
      <c r="E191" s="5">
        <v>812</v>
      </c>
      <c r="F191" s="5">
        <v>714</v>
      </c>
      <c r="G191" t="str">
        <f t="shared" si="2"/>
        <v>2020-05-11Пермь</v>
      </c>
    </row>
    <row r="192" spans="1:7" ht="14.25" customHeight="1" x14ac:dyDescent="0.3">
      <c r="A192" s="18">
        <v>43962</v>
      </c>
      <c r="B192" s="5" t="s">
        <v>19</v>
      </c>
      <c r="C192" t="s">
        <v>223</v>
      </c>
      <c r="D192" s="5">
        <v>15</v>
      </c>
      <c r="E192" s="5">
        <v>684</v>
      </c>
      <c r="F192" s="5">
        <v>585</v>
      </c>
      <c r="G192" t="str">
        <f t="shared" si="2"/>
        <v>2020-05-11Ростов-на-Дону</v>
      </c>
    </row>
    <row r="193" spans="1:7" ht="14.25" customHeight="1" x14ac:dyDescent="0.3">
      <c r="A193" s="18">
        <v>43962</v>
      </c>
      <c r="B193" s="5" t="s">
        <v>15</v>
      </c>
      <c r="C193" t="s">
        <v>224</v>
      </c>
      <c r="D193" s="5">
        <v>125</v>
      </c>
      <c r="E193" s="5">
        <v>18066</v>
      </c>
      <c r="F193" s="5">
        <v>16883</v>
      </c>
      <c r="G193" t="str">
        <f t="shared" si="2"/>
        <v>2020-05-11Санкт-Петербург Север</v>
      </c>
    </row>
    <row r="194" spans="1:7" ht="14.25" customHeight="1" x14ac:dyDescent="0.3">
      <c r="A194" s="18">
        <v>43962</v>
      </c>
      <c r="B194" s="5" t="s">
        <v>14</v>
      </c>
      <c r="C194" t="s">
        <v>225</v>
      </c>
      <c r="D194" s="5">
        <v>129</v>
      </c>
      <c r="E194" s="5">
        <v>14043</v>
      </c>
      <c r="F194" s="5">
        <v>13167</v>
      </c>
      <c r="G194" t="str">
        <f t="shared" si="2"/>
        <v>2020-05-11Санкт-Петербург Юг</v>
      </c>
    </row>
    <row r="195" spans="1:7" ht="14.25" customHeight="1" x14ac:dyDescent="0.3">
      <c r="A195" s="18">
        <v>43962</v>
      </c>
      <c r="B195" s="5" t="s">
        <v>12</v>
      </c>
      <c r="C195" t="s">
        <v>226</v>
      </c>
      <c r="D195" s="5">
        <v>10</v>
      </c>
      <c r="E195" s="5">
        <v>494</v>
      </c>
      <c r="F195" s="5">
        <v>421</v>
      </c>
      <c r="G195" t="str">
        <f t="shared" ref="G195:G258" si="3">TEXT(A195,"yyyy-mm-dd") &amp; TRIM(B195)</f>
        <v>2020-05-11Тольятти</v>
      </c>
    </row>
    <row r="196" spans="1:7" ht="14.25" customHeight="1" x14ac:dyDescent="0.3">
      <c r="A196" s="18">
        <v>43963</v>
      </c>
      <c r="B196" s="5" t="s">
        <v>16</v>
      </c>
      <c r="C196" t="s">
        <v>227</v>
      </c>
      <c r="D196" s="5">
        <v>36</v>
      </c>
      <c r="E196" s="5">
        <v>4418</v>
      </c>
      <c r="F196" s="5">
        <v>4088</v>
      </c>
      <c r="G196" t="str">
        <f t="shared" si="3"/>
        <v>2020-05-12Волгоград</v>
      </c>
    </row>
    <row r="197" spans="1:7" ht="14.25" customHeight="1" x14ac:dyDescent="0.3">
      <c r="A197" s="18">
        <v>43963</v>
      </c>
      <c r="B197" s="5" t="s">
        <v>11</v>
      </c>
      <c r="C197" t="s">
        <v>228</v>
      </c>
      <c r="D197" s="5">
        <v>31</v>
      </c>
      <c r="E197" s="5">
        <v>4800</v>
      </c>
      <c r="F197" s="5">
        <v>4470</v>
      </c>
      <c r="G197" t="str">
        <f t="shared" si="3"/>
        <v>2020-05-12Екатеринбург</v>
      </c>
    </row>
    <row r="198" spans="1:7" ht="14.25" customHeight="1" x14ac:dyDescent="0.3">
      <c r="A198" s="18">
        <v>43963</v>
      </c>
      <c r="B198" s="5" t="s">
        <v>17</v>
      </c>
      <c r="C198" t="s">
        <v>229</v>
      </c>
      <c r="D198" s="5">
        <v>21</v>
      </c>
      <c r="E198" s="5">
        <v>1926</v>
      </c>
      <c r="F198" s="5">
        <v>1745</v>
      </c>
      <c r="G198" t="str">
        <f t="shared" si="3"/>
        <v>2020-05-12Казань</v>
      </c>
    </row>
    <row r="199" spans="1:7" ht="14.25" customHeight="1" x14ac:dyDescent="0.3">
      <c r="A199" s="18">
        <v>43963</v>
      </c>
      <c r="B199" s="5" t="s">
        <v>10</v>
      </c>
      <c r="C199" t="s">
        <v>230</v>
      </c>
      <c r="D199" s="5">
        <v>21</v>
      </c>
      <c r="E199" s="5">
        <v>1656</v>
      </c>
      <c r="F199" s="5">
        <v>1516</v>
      </c>
      <c r="G199" t="str">
        <f t="shared" si="3"/>
        <v>2020-05-12Кемерово</v>
      </c>
    </row>
    <row r="200" spans="1:7" ht="14.25" customHeight="1" x14ac:dyDescent="0.3">
      <c r="A200" s="18">
        <v>43963</v>
      </c>
      <c r="B200" s="5" t="s">
        <v>20</v>
      </c>
      <c r="C200" t="s">
        <v>231</v>
      </c>
      <c r="D200" s="5">
        <v>19</v>
      </c>
      <c r="E200" s="5">
        <v>1598</v>
      </c>
      <c r="F200" s="5">
        <v>1454</v>
      </c>
      <c r="G200" t="str">
        <f t="shared" si="3"/>
        <v>2020-05-12Краснодар</v>
      </c>
    </row>
    <row r="201" spans="1:7" ht="14.25" customHeight="1" x14ac:dyDescent="0.3">
      <c r="A201" s="18">
        <v>43963</v>
      </c>
      <c r="B201" s="5" t="s">
        <v>22</v>
      </c>
      <c r="C201" t="s">
        <v>232</v>
      </c>
      <c r="D201" s="5">
        <v>54</v>
      </c>
      <c r="E201" s="5">
        <v>11614</v>
      </c>
      <c r="F201" s="5">
        <v>10862</v>
      </c>
      <c r="G201" t="str">
        <f t="shared" si="3"/>
        <v>2020-05-12Москва Восток</v>
      </c>
    </row>
    <row r="202" spans="1:7" ht="14.25" customHeight="1" x14ac:dyDescent="0.3">
      <c r="A202" s="18">
        <v>43963</v>
      </c>
      <c r="B202" s="5" t="s">
        <v>21</v>
      </c>
      <c r="C202" t="s">
        <v>233</v>
      </c>
      <c r="D202" s="5">
        <v>60</v>
      </c>
      <c r="E202" s="5">
        <v>12000</v>
      </c>
      <c r="F202" s="5">
        <v>11194</v>
      </c>
      <c r="G202" t="str">
        <f t="shared" si="3"/>
        <v>2020-05-12Москва Запад</v>
      </c>
    </row>
    <row r="203" spans="1:7" ht="14.25" customHeight="1" x14ac:dyDescent="0.3">
      <c r="A203" s="18">
        <v>43963</v>
      </c>
      <c r="B203" s="5" t="s">
        <v>13</v>
      </c>
      <c r="C203" t="s">
        <v>234</v>
      </c>
      <c r="D203" s="5">
        <v>19</v>
      </c>
      <c r="E203" s="5">
        <v>1649</v>
      </c>
      <c r="F203" s="5">
        <v>1460</v>
      </c>
      <c r="G203" t="str">
        <f t="shared" si="3"/>
        <v>2020-05-12Нижний Новгород</v>
      </c>
    </row>
    <row r="204" spans="1:7" ht="14.25" customHeight="1" x14ac:dyDescent="0.3">
      <c r="A204" s="18">
        <v>43963</v>
      </c>
      <c r="B204" s="5" t="s">
        <v>23</v>
      </c>
      <c r="C204" t="s">
        <v>235</v>
      </c>
      <c r="D204" s="5">
        <v>15</v>
      </c>
      <c r="E204" s="5">
        <v>750</v>
      </c>
      <c r="F204" s="5">
        <v>659</v>
      </c>
      <c r="G204" t="str">
        <f t="shared" si="3"/>
        <v>2020-05-12Новосибирск</v>
      </c>
    </row>
    <row r="205" spans="1:7" ht="14.25" customHeight="1" x14ac:dyDescent="0.3">
      <c r="A205" s="18">
        <v>43963</v>
      </c>
      <c r="B205" s="5" t="s">
        <v>18</v>
      </c>
      <c r="C205" t="s">
        <v>236</v>
      </c>
      <c r="D205" s="5">
        <v>15</v>
      </c>
      <c r="E205" s="5">
        <v>845</v>
      </c>
      <c r="F205" s="5">
        <v>743</v>
      </c>
      <c r="G205" t="str">
        <f t="shared" si="3"/>
        <v>2020-05-12Пермь</v>
      </c>
    </row>
    <row r="206" spans="1:7" ht="14.25" customHeight="1" x14ac:dyDescent="0.3">
      <c r="A206" s="18">
        <v>43963</v>
      </c>
      <c r="B206" s="5" t="s">
        <v>19</v>
      </c>
      <c r="C206" t="s">
        <v>237</v>
      </c>
      <c r="D206" s="5">
        <v>15</v>
      </c>
      <c r="E206" s="5">
        <v>624</v>
      </c>
      <c r="F206" s="5">
        <v>538</v>
      </c>
      <c r="G206" t="str">
        <f t="shared" si="3"/>
        <v>2020-05-12Ростов-на-Дону</v>
      </c>
    </row>
    <row r="207" spans="1:7" ht="14.25" customHeight="1" x14ac:dyDescent="0.3">
      <c r="A207" s="18">
        <v>43963</v>
      </c>
      <c r="B207" s="5" t="s">
        <v>15</v>
      </c>
      <c r="C207" t="s">
        <v>238</v>
      </c>
      <c r="D207" s="5">
        <v>125</v>
      </c>
      <c r="E207" s="5">
        <v>21106</v>
      </c>
      <c r="F207" s="5">
        <v>19651</v>
      </c>
      <c r="G207" t="str">
        <f t="shared" si="3"/>
        <v>2020-05-12Санкт-Петербург Север</v>
      </c>
    </row>
    <row r="208" spans="1:7" ht="14.25" customHeight="1" x14ac:dyDescent="0.3">
      <c r="A208" s="18">
        <v>43963</v>
      </c>
      <c r="B208" s="5" t="s">
        <v>14</v>
      </c>
      <c r="C208" t="s">
        <v>239</v>
      </c>
      <c r="D208" s="5">
        <v>129</v>
      </c>
      <c r="E208" s="5">
        <v>16387</v>
      </c>
      <c r="F208" s="5">
        <v>15322</v>
      </c>
      <c r="G208" t="str">
        <f t="shared" si="3"/>
        <v>2020-05-12Санкт-Петербург Юг</v>
      </c>
    </row>
    <row r="209" spans="1:7" ht="14.25" customHeight="1" x14ac:dyDescent="0.3">
      <c r="A209" s="18">
        <v>43963</v>
      </c>
      <c r="B209" s="5" t="s">
        <v>12</v>
      </c>
      <c r="C209" t="s">
        <v>240</v>
      </c>
      <c r="D209" s="5">
        <v>10</v>
      </c>
      <c r="E209" s="5">
        <v>526</v>
      </c>
      <c r="F209" s="5">
        <v>448</v>
      </c>
      <c r="G209" t="str">
        <f t="shared" si="3"/>
        <v>2020-05-12Тольятти</v>
      </c>
    </row>
    <row r="210" spans="1:7" ht="14.25" customHeight="1" x14ac:dyDescent="0.3">
      <c r="A210" s="18">
        <v>43964</v>
      </c>
      <c r="B210" s="5" t="s">
        <v>16</v>
      </c>
      <c r="C210" t="s">
        <v>241</v>
      </c>
      <c r="D210" s="5">
        <v>36</v>
      </c>
      <c r="E210" s="5">
        <v>4967</v>
      </c>
      <c r="F210" s="5">
        <v>4583</v>
      </c>
      <c r="G210" t="str">
        <f t="shared" si="3"/>
        <v>2020-05-13Волгоград</v>
      </c>
    </row>
    <row r="211" spans="1:7" ht="14.25" customHeight="1" x14ac:dyDescent="0.3">
      <c r="A211" s="18">
        <v>43964</v>
      </c>
      <c r="B211" s="5" t="s">
        <v>11</v>
      </c>
      <c r="C211" t="s">
        <v>242</v>
      </c>
      <c r="D211" s="5">
        <v>31</v>
      </c>
      <c r="E211" s="5">
        <v>5251</v>
      </c>
      <c r="F211" s="5">
        <v>4853</v>
      </c>
      <c r="G211" t="str">
        <f t="shared" si="3"/>
        <v>2020-05-13Екатеринбург</v>
      </c>
    </row>
    <row r="212" spans="1:7" ht="14.25" customHeight="1" x14ac:dyDescent="0.3">
      <c r="A212" s="18">
        <v>43964</v>
      </c>
      <c r="B212" s="5" t="s">
        <v>17</v>
      </c>
      <c r="C212" t="s">
        <v>243</v>
      </c>
      <c r="D212" s="5">
        <v>21</v>
      </c>
      <c r="E212" s="5">
        <v>2061</v>
      </c>
      <c r="F212" s="5">
        <v>1876</v>
      </c>
      <c r="G212" t="str">
        <f t="shared" si="3"/>
        <v>2020-05-13Казань</v>
      </c>
    </row>
    <row r="213" spans="1:7" ht="14.25" customHeight="1" x14ac:dyDescent="0.3">
      <c r="A213" s="18">
        <v>43964</v>
      </c>
      <c r="B213" s="5" t="s">
        <v>10</v>
      </c>
      <c r="C213" t="s">
        <v>244</v>
      </c>
      <c r="D213" s="5">
        <v>21</v>
      </c>
      <c r="E213" s="5">
        <v>1698</v>
      </c>
      <c r="F213" s="5">
        <v>1554</v>
      </c>
      <c r="G213" t="str">
        <f t="shared" si="3"/>
        <v>2020-05-13Кемерово</v>
      </c>
    </row>
    <row r="214" spans="1:7" ht="14.25" customHeight="1" x14ac:dyDescent="0.3">
      <c r="A214" s="18">
        <v>43964</v>
      </c>
      <c r="B214" s="5" t="s">
        <v>20</v>
      </c>
      <c r="C214" t="s">
        <v>245</v>
      </c>
      <c r="D214" s="5">
        <v>19</v>
      </c>
      <c r="E214" s="5">
        <v>1605</v>
      </c>
      <c r="F214" s="5">
        <v>1447</v>
      </c>
      <c r="G214" t="str">
        <f t="shared" si="3"/>
        <v>2020-05-13Краснодар</v>
      </c>
    </row>
    <row r="215" spans="1:7" ht="14.25" customHeight="1" x14ac:dyDescent="0.3">
      <c r="A215" s="18">
        <v>43964</v>
      </c>
      <c r="B215" s="5" t="s">
        <v>22</v>
      </c>
      <c r="C215" t="s">
        <v>246</v>
      </c>
      <c r="D215" s="5">
        <v>54</v>
      </c>
      <c r="E215" s="5">
        <v>11522</v>
      </c>
      <c r="F215" s="5">
        <v>10803</v>
      </c>
      <c r="G215" t="str">
        <f t="shared" si="3"/>
        <v>2020-05-13Москва Восток</v>
      </c>
    </row>
    <row r="216" spans="1:7" ht="14.25" customHeight="1" x14ac:dyDescent="0.3">
      <c r="A216" s="18">
        <v>43964</v>
      </c>
      <c r="B216" s="5" t="s">
        <v>21</v>
      </c>
      <c r="C216" t="s">
        <v>247</v>
      </c>
      <c r="D216" s="5">
        <v>60</v>
      </c>
      <c r="E216" s="5">
        <v>12007</v>
      </c>
      <c r="F216" s="5">
        <v>11245</v>
      </c>
      <c r="G216" t="str">
        <f t="shared" si="3"/>
        <v>2020-05-13Москва Запад</v>
      </c>
    </row>
    <row r="217" spans="1:7" ht="14.25" customHeight="1" x14ac:dyDescent="0.3">
      <c r="A217" s="18">
        <v>43964</v>
      </c>
      <c r="B217" s="5" t="s">
        <v>13</v>
      </c>
      <c r="C217" t="s">
        <v>248</v>
      </c>
      <c r="D217" s="5">
        <v>19</v>
      </c>
      <c r="E217" s="5">
        <v>1625</v>
      </c>
      <c r="F217" s="5">
        <v>1444</v>
      </c>
      <c r="G217" t="str">
        <f t="shared" si="3"/>
        <v>2020-05-13Нижний Новгород</v>
      </c>
    </row>
    <row r="218" spans="1:7" ht="14.25" customHeight="1" x14ac:dyDescent="0.3">
      <c r="A218" s="18">
        <v>43964</v>
      </c>
      <c r="B218" s="5" t="s">
        <v>23</v>
      </c>
      <c r="C218" t="s">
        <v>249</v>
      </c>
      <c r="D218" s="5">
        <v>15</v>
      </c>
      <c r="E218" s="5">
        <v>854</v>
      </c>
      <c r="F218" s="5">
        <v>756</v>
      </c>
      <c r="G218" t="str">
        <f t="shared" si="3"/>
        <v>2020-05-13Новосибирск</v>
      </c>
    </row>
    <row r="219" spans="1:7" ht="14.25" customHeight="1" x14ac:dyDescent="0.3">
      <c r="A219" s="18">
        <v>43964</v>
      </c>
      <c r="B219" s="5" t="s">
        <v>18</v>
      </c>
      <c r="C219" t="s">
        <v>250</v>
      </c>
      <c r="D219" s="5">
        <v>15</v>
      </c>
      <c r="E219" s="5">
        <v>898</v>
      </c>
      <c r="F219" s="5">
        <v>795</v>
      </c>
      <c r="G219" t="str">
        <f t="shared" si="3"/>
        <v>2020-05-13Пермь</v>
      </c>
    </row>
    <row r="220" spans="1:7" ht="14.25" customHeight="1" x14ac:dyDescent="0.3">
      <c r="A220" s="18">
        <v>43964</v>
      </c>
      <c r="B220" s="5" t="s">
        <v>19</v>
      </c>
      <c r="C220" t="s">
        <v>251</v>
      </c>
      <c r="D220" s="5">
        <v>15</v>
      </c>
      <c r="E220" s="5">
        <v>599</v>
      </c>
      <c r="F220" s="5">
        <v>515</v>
      </c>
      <c r="G220" t="str">
        <f t="shared" si="3"/>
        <v>2020-05-13Ростов-на-Дону</v>
      </c>
    </row>
    <row r="221" spans="1:7" ht="14.25" customHeight="1" x14ac:dyDescent="0.3">
      <c r="A221" s="18">
        <v>43964</v>
      </c>
      <c r="B221" s="5" t="s">
        <v>15</v>
      </c>
      <c r="C221" t="s">
        <v>252</v>
      </c>
      <c r="D221" s="5">
        <v>125</v>
      </c>
      <c r="E221" s="5">
        <v>19965</v>
      </c>
      <c r="F221" s="5">
        <v>18573</v>
      </c>
      <c r="G221" t="str">
        <f t="shared" si="3"/>
        <v>2020-05-13Санкт-Петербург Север</v>
      </c>
    </row>
    <row r="222" spans="1:7" ht="14.25" customHeight="1" x14ac:dyDescent="0.3">
      <c r="A222" s="18">
        <v>43964</v>
      </c>
      <c r="B222" s="5" t="s">
        <v>14</v>
      </c>
      <c r="C222" t="s">
        <v>253</v>
      </c>
      <c r="D222" s="5">
        <v>129</v>
      </c>
      <c r="E222" s="5">
        <v>15304</v>
      </c>
      <c r="F222" s="5">
        <v>14315</v>
      </c>
      <c r="G222" t="str">
        <f t="shared" si="3"/>
        <v>2020-05-13Санкт-Петербург Юг</v>
      </c>
    </row>
    <row r="223" spans="1:7" ht="14.25" customHeight="1" x14ac:dyDescent="0.3">
      <c r="A223" s="18">
        <v>43964</v>
      </c>
      <c r="B223" s="5" t="s">
        <v>12</v>
      </c>
      <c r="C223" t="s">
        <v>254</v>
      </c>
      <c r="D223" s="5">
        <v>10</v>
      </c>
      <c r="E223" s="5">
        <v>612</v>
      </c>
      <c r="F223" s="5">
        <v>530</v>
      </c>
      <c r="G223" t="str">
        <f t="shared" si="3"/>
        <v>2020-05-13Тольятти</v>
      </c>
    </row>
    <row r="224" spans="1:7" ht="14.25" customHeight="1" x14ac:dyDescent="0.3">
      <c r="A224" s="18">
        <v>43965</v>
      </c>
      <c r="B224" s="5" t="s">
        <v>16</v>
      </c>
      <c r="C224" t="s">
        <v>255</v>
      </c>
      <c r="D224" s="5">
        <v>36</v>
      </c>
      <c r="E224" s="5">
        <v>4285</v>
      </c>
      <c r="F224" s="5">
        <v>3950</v>
      </c>
      <c r="G224" t="str">
        <f t="shared" si="3"/>
        <v>2020-05-14Волгоград</v>
      </c>
    </row>
    <row r="225" spans="1:7" ht="14.25" customHeight="1" x14ac:dyDescent="0.3">
      <c r="A225" s="18">
        <v>43965</v>
      </c>
      <c r="B225" s="5" t="s">
        <v>11</v>
      </c>
      <c r="C225" t="s">
        <v>256</v>
      </c>
      <c r="D225" s="5">
        <v>31</v>
      </c>
      <c r="E225" s="5">
        <v>4695</v>
      </c>
      <c r="F225" s="5">
        <v>4372</v>
      </c>
      <c r="G225" t="str">
        <f t="shared" si="3"/>
        <v>2020-05-14Екатеринбург</v>
      </c>
    </row>
    <row r="226" spans="1:7" ht="14.25" customHeight="1" x14ac:dyDescent="0.3">
      <c r="A226" s="18">
        <v>43965</v>
      </c>
      <c r="B226" s="5" t="s">
        <v>17</v>
      </c>
      <c r="C226" t="s">
        <v>257</v>
      </c>
      <c r="D226" s="5">
        <v>21</v>
      </c>
      <c r="E226" s="5">
        <v>1993</v>
      </c>
      <c r="F226" s="5">
        <v>1796</v>
      </c>
      <c r="G226" t="str">
        <f t="shared" si="3"/>
        <v>2020-05-14Казань</v>
      </c>
    </row>
    <row r="227" spans="1:7" ht="14.25" customHeight="1" x14ac:dyDescent="0.3">
      <c r="A227" s="18">
        <v>43965</v>
      </c>
      <c r="B227" s="5" t="s">
        <v>10</v>
      </c>
      <c r="C227" t="s">
        <v>258</v>
      </c>
      <c r="D227" s="5">
        <v>21</v>
      </c>
      <c r="E227" s="5">
        <v>1706</v>
      </c>
      <c r="F227" s="5">
        <v>1548</v>
      </c>
      <c r="G227" t="str">
        <f t="shared" si="3"/>
        <v>2020-05-14Кемерово</v>
      </c>
    </row>
    <row r="228" spans="1:7" ht="14.25" customHeight="1" x14ac:dyDescent="0.3">
      <c r="A228" s="18">
        <v>43965</v>
      </c>
      <c r="B228" s="5" t="s">
        <v>20</v>
      </c>
      <c r="C228" t="s">
        <v>259</v>
      </c>
      <c r="D228" s="5">
        <v>19</v>
      </c>
      <c r="E228" s="5">
        <v>1635</v>
      </c>
      <c r="F228" s="5">
        <v>1487</v>
      </c>
      <c r="G228" t="str">
        <f t="shared" si="3"/>
        <v>2020-05-14Краснодар</v>
      </c>
    </row>
    <row r="229" spans="1:7" ht="14.25" customHeight="1" x14ac:dyDescent="0.3">
      <c r="A229" s="18">
        <v>43965</v>
      </c>
      <c r="B229" s="5" t="s">
        <v>22</v>
      </c>
      <c r="C229" t="s">
        <v>260</v>
      </c>
      <c r="D229" s="5">
        <v>54</v>
      </c>
      <c r="E229" s="5">
        <v>11194</v>
      </c>
      <c r="F229" s="5">
        <v>10554</v>
      </c>
      <c r="G229" t="str">
        <f t="shared" si="3"/>
        <v>2020-05-14Москва Восток</v>
      </c>
    </row>
    <row r="230" spans="1:7" ht="14.25" customHeight="1" x14ac:dyDescent="0.3">
      <c r="A230" s="18">
        <v>43965</v>
      </c>
      <c r="B230" s="5" t="s">
        <v>21</v>
      </c>
      <c r="C230" t="s">
        <v>261</v>
      </c>
      <c r="D230" s="5">
        <v>60</v>
      </c>
      <c r="E230" s="5">
        <v>11935</v>
      </c>
      <c r="F230" s="5">
        <v>11178</v>
      </c>
      <c r="G230" t="str">
        <f t="shared" si="3"/>
        <v>2020-05-14Москва Запад</v>
      </c>
    </row>
    <row r="231" spans="1:7" ht="14.25" customHeight="1" x14ac:dyDescent="0.3">
      <c r="A231" s="18">
        <v>43965</v>
      </c>
      <c r="B231" s="5" t="s">
        <v>13</v>
      </c>
      <c r="C231" t="s">
        <v>262</v>
      </c>
      <c r="D231" s="5">
        <v>19</v>
      </c>
      <c r="E231" s="5">
        <v>1675</v>
      </c>
      <c r="F231" s="5">
        <v>1475</v>
      </c>
      <c r="G231" t="str">
        <f t="shared" si="3"/>
        <v>2020-05-14Нижний Новгород</v>
      </c>
    </row>
    <row r="232" spans="1:7" ht="14.25" customHeight="1" x14ac:dyDescent="0.3">
      <c r="A232" s="18">
        <v>43965</v>
      </c>
      <c r="B232" s="5" t="s">
        <v>23</v>
      </c>
      <c r="C232" t="s">
        <v>263</v>
      </c>
      <c r="D232" s="5">
        <v>16</v>
      </c>
      <c r="E232" s="5">
        <v>834</v>
      </c>
      <c r="F232" s="5">
        <v>735</v>
      </c>
      <c r="G232" t="str">
        <f t="shared" si="3"/>
        <v>2020-05-14Новосибирск</v>
      </c>
    </row>
    <row r="233" spans="1:7" ht="14.25" customHeight="1" x14ac:dyDescent="0.3">
      <c r="A233" s="18">
        <v>43965</v>
      </c>
      <c r="B233" s="5" t="s">
        <v>18</v>
      </c>
      <c r="C233" t="s">
        <v>264</v>
      </c>
      <c r="D233" s="5">
        <v>15</v>
      </c>
      <c r="E233" s="5">
        <v>890</v>
      </c>
      <c r="F233" s="5">
        <v>777</v>
      </c>
      <c r="G233" t="str">
        <f t="shared" si="3"/>
        <v>2020-05-14Пермь</v>
      </c>
    </row>
    <row r="234" spans="1:7" ht="14.25" customHeight="1" x14ac:dyDescent="0.3">
      <c r="A234" s="18">
        <v>43965</v>
      </c>
      <c r="B234" s="5" t="s">
        <v>19</v>
      </c>
      <c r="C234" t="s">
        <v>265</v>
      </c>
      <c r="D234" s="5">
        <v>15</v>
      </c>
      <c r="E234" s="5">
        <v>638</v>
      </c>
      <c r="F234" s="5">
        <v>548</v>
      </c>
      <c r="G234" t="str">
        <f t="shared" si="3"/>
        <v>2020-05-14Ростов-на-Дону</v>
      </c>
    </row>
    <row r="235" spans="1:7" ht="14.25" customHeight="1" x14ac:dyDescent="0.3">
      <c r="A235" s="18">
        <v>43965</v>
      </c>
      <c r="B235" s="5" t="s">
        <v>15</v>
      </c>
      <c r="C235" t="s">
        <v>266</v>
      </c>
      <c r="D235" s="5">
        <v>125</v>
      </c>
      <c r="E235" s="5">
        <v>20247</v>
      </c>
      <c r="F235" s="5">
        <v>18812</v>
      </c>
      <c r="G235" t="str">
        <f t="shared" si="3"/>
        <v>2020-05-14Санкт-Петербург Север</v>
      </c>
    </row>
    <row r="236" spans="1:7" ht="14.25" customHeight="1" x14ac:dyDescent="0.3">
      <c r="A236" s="18">
        <v>43965</v>
      </c>
      <c r="B236" s="5" t="s">
        <v>14</v>
      </c>
      <c r="C236" t="s">
        <v>267</v>
      </c>
      <c r="D236" s="5">
        <v>129</v>
      </c>
      <c r="E236" s="5">
        <v>15804</v>
      </c>
      <c r="F236" s="5">
        <v>14738</v>
      </c>
      <c r="G236" t="str">
        <f t="shared" si="3"/>
        <v>2020-05-14Санкт-Петербург Юг</v>
      </c>
    </row>
    <row r="237" spans="1:7" ht="14.25" customHeight="1" x14ac:dyDescent="0.3">
      <c r="A237" s="18">
        <v>43965</v>
      </c>
      <c r="B237" s="5" t="s">
        <v>12</v>
      </c>
      <c r="C237" t="s">
        <v>268</v>
      </c>
      <c r="D237" s="5">
        <v>10</v>
      </c>
      <c r="E237" s="5">
        <v>627</v>
      </c>
      <c r="F237" s="5">
        <v>545</v>
      </c>
      <c r="G237" t="str">
        <f t="shared" si="3"/>
        <v>2020-05-14Тольятти</v>
      </c>
    </row>
    <row r="238" spans="1:7" ht="14.25" customHeight="1" x14ac:dyDescent="0.3">
      <c r="A238" s="18">
        <v>43966</v>
      </c>
      <c r="B238" s="5" t="s">
        <v>16</v>
      </c>
      <c r="C238" t="s">
        <v>269</v>
      </c>
      <c r="D238" s="5">
        <v>36</v>
      </c>
      <c r="E238" s="5">
        <v>4862</v>
      </c>
      <c r="F238" s="5">
        <v>4476</v>
      </c>
      <c r="G238" t="str">
        <f t="shared" si="3"/>
        <v>2020-05-15Волгоград</v>
      </c>
    </row>
    <row r="239" spans="1:7" ht="14.25" customHeight="1" x14ac:dyDescent="0.3">
      <c r="A239" s="18">
        <v>43966</v>
      </c>
      <c r="B239" s="5" t="s">
        <v>11</v>
      </c>
      <c r="C239" t="s">
        <v>270</v>
      </c>
      <c r="D239" s="5">
        <v>31</v>
      </c>
      <c r="E239" s="5">
        <v>5184</v>
      </c>
      <c r="F239" s="5">
        <v>4778</v>
      </c>
      <c r="G239" t="str">
        <f t="shared" si="3"/>
        <v>2020-05-15Екатеринбург</v>
      </c>
    </row>
    <row r="240" spans="1:7" ht="14.25" customHeight="1" x14ac:dyDescent="0.3">
      <c r="A240" s="18">
        <v>43966</v>
      </c>
      <c r="B240" s="5" t="s">
        <v>17</v>
      </c>
      <c r="C240" t="s">
        <v>271</v>
      </c>
      <c r="D240" s="5">
        <v>21</v>
      </c>
      <c r="E240" s="5">
        <v>2255</v>
      </c>
      <c r="F240" s="5">
        <v>2045</v>
      </c>
      <c r="G240" t="str">
        <f t="shared" si="3"/>
        <v>2020-05-15Казань</v>
      </c>
    </row>
    <row r="241" spans="1:7" ht="14.25" customHeight="1" x14ac:dyDescent="0.3">
      <c r="A241" s="18">
        <v>43966</v>
      </c>
      <c r="B241" s="5" t="s">
        <v>10</v>
      </c>
      <c r="C241" t="s">
        <v>272</v>
      </c>
      <c r="D241" s="5">
        <v>21</v>
      </c>
      <c r="E241" s="5">
        <v>1926</v>
      </c>
      <c r="F241" s="5">
        <v>1742</v>
      </c>
      <c r="G241" t="str">
        <f t="shared" si="3"/>
        <v>2020-05-15Кемерово</v>
      </c>
    </row>
    <row r="242" spans="1:7" ht="14.25" customHeight="1" x14ac:dyDescent="0.3">
      <c r="A242" s="18">
        <v>43966</v>
      </c>
      <c r="B242" s="5" t="s">
        <v>20</v>
      </c>
      <c r="C242" t="s">
        <v>273</v>
      </c>
      <c r="D242" s="5">
        <v>19</v>
      </c>
      <c r="E242" s="5">
        <v>1780</v>
      </c>
      <c r="F242" s="5">
        <v>1615</v>
      </c>
      <c r="G242" t="str">
        <f t="shared" si="3"/>
        <v>2020-05-15Краснодар</v>
      </c>
    </row>
    <row r="243" spans="1:7" ht="14.25" customHeight="1" x14ac:dyDescent="0.3">
      <c r="A243" s="18">
        <v>43966</v>
      </c>
      <c r="B243" s="5" t="s">
        <v>22</v>
      </c>
      <c r="C243" t="s">
        <v>274</v>
      </c>
      <c r="D243" s="5">
        <v>54</v>
      </c>
      <c r="E243" s="5">
        <v>12791</v>
      </c>
      <c r="F243" s="5">
        <v>11950</v>
      </c>
      <c r="G243" t="str">
        <f t="shared" si="3"/>
        <v>2020-05-15Москва Восток</v>
      </c>
    </row>
    <row r="244" spans="1:7" ht="14.25" customHeight="1" x14ac:dyDescent="0.3">
      <c r="A244" s="18">
        <v>43966</v>
      </c>
      <c r="B244" s="5" t="s">
        <v>21</v>
      </c>
      <c r="C244" t="s">
        <v>275</v>
      </c>
      <c r="D244" s="5">
        <v>60</v>
      </c>
      <c r="E244" s="5">
        <v>13544</v>
      </c>
      <c r="F244" s="5">
        <v>12643</v>
      </c>
      <c r="G244" t="str">
        <f t="shared" si="3"/>
        <v>2020-05-15Москва Запад</v>
      </c>
    </row>
    <row r="245" spans="1:7" ht="14.25" customHeight="1" x14ac:dyDescent="0.3">
      <c r="A245" s="18">
        <v>43966</v>
      </c>
      <c r="B245" s="5" t="s">
        <v>13</v>
      </c>
      <c r="C245" t="s">
        <v>276</v>
      </c>
      <c r="D245" s="5">
        <v>19</v>
      </c>
      <c r="E245" s="5">
        <v>1940</v>
      </c>
      <c r="F245" s="5">
        <v>1715</v>
      </c>
      <c r="G245" t="str">
        <f t="shared" si="3"/>
        <v>2020-05-15Нижний Новгород</v>
      </c>
    </row>
    <row r="246" spans="1:7" ht="14.25" customHeight="1" x14ac:dyDescent="0.3">
      <c r="A246" s="18">
        <v>43966</v>
      </c>
      <c r="B246" s="5" t="s">
        <v>23</v>
      </c>
      <c r="C246" t="s">
        <v>277</v>
      </c>
      <c r="D246" s="5">
        <v>16</v>
      </c>
      <c r="E246" s="5">
        <v>817</v>
      </c>
      <c r="F246" s="5">
        <v>718</v>
      </c>
      <c r="G246" t="str">
        <f t="shared" si="3"/>
        <v>2020-05-15Новосибирск</v>
      </c>
    </row>
    <row r="247" spans="1:7" ht="14.25" customHeight="1" x14ac:dyDescent="0.3">
      <c r="A247" s="18">
        <v>43966</v>
      </c>
      <c r="B247" s="5" t="s">
        <v>18</v>
      </c>
      <c r="C247" t="s">
        <v>278</v>
      </c>
      <c r="D247" s="5">
        <v>15</v>
      </c>
      <c r="E247" s="5">
        <v>980</v>
      </c>
      <c r="F247" s="5">
        <v>867</v>
      </c>
      <c r="G247" t="str">
        <f t="shared" si="3"/>
        <v>2020-05-15Пермь</v>
      </c>
    </row>
    <row r="248" spans="1:7" ht="14.25" customHeight="1" x14ac:dyDescent="0.3">
      <c r="A248" s="18">
        <v>43966</v>
      </c>
      <c r="B248" s="5" t="s">
        <v>19</v>
      </c>
      <c r="C248" t="s">
        <v>279</v>
      </c>
      <c r="D248" s="5">
        <v>15</v>
      </c>
      <c r="E248" s="5">
        <v>688</v>
      </c>
      <c r="F248" s="5">
        <v>598</v>
      </c>
      <c r="G248" t="str">
        <f t="shared" si="3"/>
        <v>2020-05-15Ростов-на-Дону</v>
      </c>
    </row>
    <row r="249" spans="1:7" ht="14.25" customHeight="1" x14ac:dyDescent="0.3">
      <c r="A249" s="18">
        <v>43966</v>
      </c>
      <c r="B249" s="5" t="s">
        <v>15</v>
      </c>
      <c r="C249" t="s">
        <v>280</v>
      </c>
      <c r="D249" s="5">
        <v>125</v>
      </c>
      <c r="E249" s="5">
        <v>21862</v>
      </c>
      <c r="F249" s="5">
        <v>20235</v>
      </c>
      <c r="G249" t="str">
        <f t="shared" si="3"/>
        <v>2020-05-15Санкт-Петербург Север</v>
      </c>
    </row>
    <row r="250" spans="1:7" ht="14.25" customHeight="1" x14ac:dyDescent="0.3">
      <c r="A250" s="18">
        <v>43966</v>
      </c>
      <c r="B250" s="5" t="s">
        <v>14</v>
      </c>
      <c r="C250" t="s">
        <v>281</v>
      </c>
      <c r="D250" s="5">
        <v>129</v>
      </c>
      <c r="E250" s="5">
        <v>17808</v>
      </c>
      <c r="F250" s="5">
        <v>16486</v>
      </c>
      <c r="G250" t="str">
        <f t="shared" si="3"/>
        <v>2020-05-15Санкт-Петербург Юг</v>
      </c>
    </row>
    <row r="251" spans="1:7" ht="14.25" customHeight="1" x14ac:dyDescent="0.3">
      <c r="A251" s="18">
        <v>43966</v>
      </c>
      <c r="B251" s="5" t="s">
        <v>12</v>
      </c>
      <c r="C251" t="s">
        <v>282</v>
      </c>
      <c r="D251" s="5">
        <v>10</v>
      </c>
      <c r="E251" s="5">
        <v>743</v>
      </c>
      <c r="F251" s="5">
        <v>652</v>
      </c>
      <c r="G251" t="str">
        <f t="shared" si="3"/>
        <v>2020-05-15Тольятти</v>
      </c>
    </row>
    <row r="252" spans="1:7" ht="14.25" customHeight="1" x14ac:dyDescent="0.3">
      <c r="A252" s="18">
        <v>43967</v>
      </c>
      <c r="B252" s="5" t="s">
        <v>16</v>
      </c>
      <c r="C252" t="s">
        <v>283</v>
      </c>
      <c r="D252" s="5">
        <v>36</v>
      </c>
      <c r="E252" s="5">
        <v>5286</v>
      </c>
      <c r="F252" s="5">
        <v>4867</v>
      </c>
      <c r="G252" t="str">
        <f t="shared" si="3"/>
        <v>2020-05-16Волгоград</v>
      </c>
    </row>
    <row r="253" spans="1:7" ht="14.25" customHeight="1" x14ac:dyDescent="0.3">
      <c r="A253" s="18">
        <v>43967</v>
      </c>
      <c r="B253" s="5" t="s">
        <v>11</v>
      </c>
      <c r="C253" t="s">
        <v>284</v>
      </c>
      <c r="D253" s="5">
        <v>31</v>
      </c>
      <c r="E253" s="5">
        <v>5593</v>
      </c>
      <c r="F253" s="5">
        <v>5177</v>
      </c>
      <c r="G253" t="str">
        <f t="shared" si="3"/>
        <v>2020-05-16Екатеринбург</v>
      </c>
    </row>
    <row r="254" spans="1:7" ht="14.25" customHeight="1" x14ac:dyDescent="0.3">
      <c r="A254" s="18">
        <v>43967</v>
      </c>
      <c r="B254" s="5" t="s">
        <v>17</v>
      </c>
      <c r="C254" t="s">
        <v>285</v>
      </c>
      <c r="D254" s="5">
        <v>21</v>
      </c>
      <c r="E254" s="5">
        <v>2427</v>
      </c>
      <c r="F254" s="5">
        <v>2213</v>
      </c>
      <c r="G254" t="str">
        <f t="shared" si="3"/>
        <v>2020-05-16Казань</v>
      </c>
    </row>
    <row r="255" spans="1:7" ht="14.25" customHeight="1" x14ac:dyDescent="0.3">
      <c r="A255" s="18">
        <v>43967</v>
      </c>
      <c r="B255" s="5" t="s">
        <v>10</v>
      </c>
      <c r="C255" t="s">
        <v>286</v>
      </c>
      <c r="D255" s="5">
        <v>21</v>
      </c>
      <c r="E255" s="5">
        <v>2145</v>
      </c>
      <c r="F255" s="5">
        <v>1947</v>
      </c>
      <c r="G255" t="str">
        <f t="shared" si="3"/>
        <v>2020-05-16Кемерово</v>
      </c>
    </row>
    <row r="256" spans="1:7" ht="14.25" customHeight="1" x14ac:dyDescent="0.3">
      <c r="A256" s="18">
        <v>43967</v>
      </c>
      <c r="B256" s="5" t="s">
        <v>20</v>
      </c>
      <c r="C256" t="s">
        <v>287</v>
      </c>
      <c r="D256" s="5">
        <v>19</v>
      </c>
      <c r="E256" s="5">
        <v>2039</v>
      </c>
      <c r="F256" s="5">
        <v>1868</v>
      </c>
      <c r="G256" t="str">
        <f t="shared" si="3"/>
        <v>2020-05-16Краснодар</v>
      </c>
    </row>
    <row r="257" spans="1:7" ht="14.25" customHeight="1" x14ac:dyDescent="0.3">
      <c r="A257" s="18">
        <v>43967</v>
      </c>
      <c r="B257" s="5" t="s">
        <v>22</v>
      </c>
      <c r="C257" t="s">
        <v>288</v>
      </c>
      <c r="D257" s="5">
        <v>54</v>
      </c>
      <c r="E257" s="5">
        <v>13170</v>
      </c>
      <c r="F257" s="5">
        <v>12299</v>
      </c>
      <c r="G257" t="str">
        <f t="shared" si="3"/>
        <v>2020-05-16Москва Восток</v>
      </c>
    </row>
    <row r="258" spans="1:7" ht="14.25" customHeight="1" x14ac:dyDescent="0.3">
      <c r="A258" s="18">
        <v>43967</v>
      </c>
      <c r="B258" s="5" t="s">
        <v>21</v>
      </c>
      <c r="C258" t="s">
        <v>289</v>
      </c>
      <c r="D258" s="5">
        <v>60</v>
      </c>
      <c r="E258" s="5">
        <v>14049</v>
      </c>
      <c r="F258" s="5">
        <v>13118</v>
      </c>
      <c r="G258" t="str">
        <f t="shared" si="3"/>
        <v>2020-05-16Москва Запад</v>
      </c>
    </row>
    <row r="259" spans="1:7" ht="14.25" customHeight="1" x14ac:dyDescent="0.3">
      <c r="A259" s="18">
        <v>43967</v>
      </c>
      <c r="B259" s="5" t="s">
        <v>13</v>
      </c>
      <c r="C259" t="s">
        <v>290</v>
      </c>
      <c r="D259" s="5">
        <v>19</v>
      </c>
      <c r="E259" s="5">
        <v>2080</v>
      </c>
      <c r="F259" s="5">
        <v>1844</v>
      </c>
      <c r="G259" t="str">
        <f t="shared" ref="G259:G322" si="4">TEXT(A259,"yyyy-mm-dd") &amp; TRIM(B259)</f>
        <v>2020-05-16Нижний Новгород</v>
      </c>
    </row>
    <row r="260" spans="1:7" ht="14.25" customHeight="1" x14ac:dyDescent="0.3">
      <c r="A260" s="18">
        <v>43967</v>
      </c>
      <c r="B260" s="5" t="s">
        <v>23</v>
      </c>
      <c r="C260" t="s">
        <v>291</v>
      </c>
      <c r="D260" s="5">
        <v>16</v>
      </c>
      <c r="E260" s="5">
        <v>920</v>
      </c>
      <c r="F260" s="5">
        <v>818</v>
      </c>
      <c r="G260" t="str">
        <f t="shared" si="4"/>
        <v>2020-05-16Новосибирск</v>
      </c>
    </row>
    <row r="261" spans="1:7" ht="14.25" customHeight="1" x14ac:dyDescent="0.3">
      <c r="A261" s="18">
        <v>43967</v>
      </c>
      <c r="B261" s="5" t="s">
        <v>18</v>
      </c>
      <c r="C261" t="s">
        <v>292</v>
      </c>
      <c r="D261" s="5">
        <v>15</v>
      </c>
      <c r="E261" s="5">
        <v>1111</v>
      </c>
      <c r="F261" s="5">
        <v>992</v>
      </c>
      <c r="G261" t="str">
        <f t="shared" si="4"/>
        <v>2020-05-16Пермь</v>
      </c>
    </row>
    <row r="262" spans="1:7" ht="14.25" customHeight="1" x14ac:dyDescent="0.3">
      <c r="A262" s="18">
        <v>43967</v>
      </c>
      <c r="B262" s="5" t="s">
        <v>19</v>
      </c>
      <c r="C262" t="s">
        <v>293</v>
      </c>
      <c r="D262" s="5">
        <v>15</v>
      </c>
      <c r="E262" s="5">
        <v>747</v>
      </c>
      <c r="F262" s="5">
        <v>647</v>
      </c>
      <c r="G262" t="str">
        <f t="shared" si="4"/>
        <v>2020-05-16Ростов-на-Дону</v>
      </c>
    </row>
    <row r="263" spans="1:7" ht="14.25" customHeight="1" x14ac:dyDescent="0.3">
      <c r="A263" s="18">
        <v>43967</v>
      </c>
      <c r="B263" s="5" t="s">
        <v>15</v>
      </c>
      <c r="C263" t="s">
        <v>294</v>
      </c>
      <c r="D263" s="5">
        <v>125</v>
      </c>
      <c r="E263" s="5">
        <v>22291</v>
      </c>
      <c r="F263" s="5">
        <v>20635</v>
      </c>
      <c r="G263" t="str">
        <f t="shared" si="4"/>
        <v>2020-05-16Санкт-Петербург Север</v>
      </c>
    </row>
    <row r="264" spans="1:7" ht="14.25" customHeight="1" x14ac:dyDescent="0.3">
      <c r="A264" s="18">
        <v>43967</v>
      </c>
      <c r="B264" s="5" t="s">
        <v>14</v>
      </c>
      <c r="C264" t="s">
        <v>295</v>
      </c>
      <c r="D264" s="5">
        <v>129</v>
      </c>
      <c r="E264" s="5">
        <v>17914</v>
      </c>
      <c r="F264" s="5">
        <v>16631</v>
      </c>
      <c r="G264" t="str">
        <f t="shared" si="4"/>
        <v>2020-05-16Санкт-Петербург Юг</v>
      </c>
    </row>
    <row r="265" spans="1:7" ht="14.25" customHeight="1" x14ac:dyDescent="0.3">
      <c r="A265" s="18">
        <v>43967</v>
      </c>
      <c r="B265" s="5" t="s">
        <v>12</v>
      </c>
      <c r="C265" t="s">
        <v>296</v>
      </c>
      <c r="D265" s="5">
        <v>10</v>
      </c>
      <c r="E265" s="5">
        <v>760</v>
      </c>
      <c r="F265" s="5">
        <v>672</v>
      </c>
      <c r="G265" t="str">
        <f t="shared" si="4"/>
        <v>2020-05-16Тольятти</v>
      </c>
    </row>
    <row r="266" spans="1:7" ht="14.25" customHeight="1" x14ac:dyDescent="0.3">
      <c r="A266" s="18">
        <v>43968</v>
      </c>
      <c r="B266" s="5" t="s">
        <v>16</v>
      </c>
      <c r="C266" t="s">
        <v>297</v>
      </c>
      <c r="D266" s="5">
        <v>36</v>
      </c>
      <c r="E266" s="5">
        <v>4918</v>
      </c>
      <c r="F266" s="5">
        <v>4554</v>
      </c>
      <c r="G266" t="str">
        <f t="shared" si="4"/>
        <v>2020-05-17Волгоград</v>
      </c>
    </row>
    <row r="267" spans="1:7" ht="14.25" customHeight="1" x14ac:dyDescent="0.3">
      <c r="A267" s="18">
        <v>43968</v>
      </c>
      <c r="B267" s="5" t="s">
        <v>11</v>
      </c>
      <c r="C267" t="s">
        <v>298</v>
      </c>
      <c r="D267" s="5">
        <v>31</v>
      </c>
      <c r="E267" s="5">
        <v>5206</v>
      </c>
      <c r="F267" s="5">
        <v>4843</v>
      </c>
      <c r="G267" t="str">
        <f t="shared" si="4"/>
        <v>2020-05-17Екатеринбург</v>
      </c>
    </row>
    <row r="268" spans="1:7" ht="14.25" customHeight="1" x14ac:dyDescent="0.3">
      <c r="A268" s="18">
        <v>43968</v>
      </c>
      <c r="B268" s="5" t="s">
        <v>17</v>
      </c>
      <c r="C268" t="s">
        <v>299</v>
      </c>
      <c r="D268" s="5">
        <v>21</v>
      </c>
      <c r="E268" s="5">
        <v>2054</v>
      </c>
      <c r="F268" s="5">
        <v>1883</v>
      </c>
      <c r="G268" t="str">
        <f t="shared" si="4"/>
        <v>2020-05-17Казань</v>
      </c>
    </row>
    <row r="269" spans="1:7" ht="14.25" customHeight="1" x14ac:dyDescent="0.3">
      <c r="A269" s="18">
        <v>43968</v>
      </c>
      <c r="B269" s="5" t="s">
        <v>10</v>
      </c>
      <c r="C269" t="s">
        <v>300</v>
      </c>
      <c r="D269" s="5">
        <v>21</v>
      </c>
      <c r="E269" s="5">
        <v>1874</v>
      </c>
      <c r="F269" s="5">
        <v>1705</v>
      </c>
      <c r="G269" t="str">
        <f t="shared" si="4"/>
        <v>2020-05-17Кемерово</v>
      </c>
    </row>
    <row r="270" spans="1:7" ht="14.25" customHeight="1" x14ac:dyDescent="0.3">
      <c r="A270" s="18">
        <v>43968</v>
      </c>
      <c r="B270" s="5" t="s">
        <v>20</v>
      </c>
      <c r="C270" t="s">
        <v>301</v>
      </c>
      <c r="D270" s="5">
        <v>19</v>
      </c>
      <c r="E270" s="5">
        <v>1790</v>
      </c>
      <c r="F270" s="5">
        <v>1633</v>
      </c>
      <c r="G270" t="str">
        <f t="shared" si="4"/>
        <v>2020-05-17Краснодар</v>
      </c>
    </row>
    <row r="271" spans="1:7" ht="14.25" customHeight="1" x14ac:dyDescent="0.3">
      <c r="A271" s="18">
        <v>43968</v>
      </c>
      <c r="B271" s="5" t="s">
        <v>22</v>
      </c>
      <c r="C271" t="s">
        <v>302</v>
      </c>
      <c r="D271" s="5">
        <v>54</v>
      </c>
      <c r="E271" s="5">
        <v>11128</v>
      </c>
      <c r="F271" s="5">
        <v>10467</v>
      </c>
      <c r="G271" t="str">
        <f t="shared" si="4"/>
        <v>2020-05-17Москва Восток</v>
      </c>
    </row>
    <row r="272" spans="1:7" ht="14.25" customHeight="1" x14ac:dyDescent="0.3">
      <c r="A272" s="18">
        <v>43968</v>
      </c>
      <c r="B272" s="5" t="s">
        <v>21</v>
      </c>
      <c r="C272" t="s">
        <v>303</v>
      </c>
      <c r="D272" s="5">
        <v>60</v>
      </c>
      <c r="E272" s="5">
        <v>11698</v>
      </c>
      <c r="F272" s="5">
        <v>10989</v>
      </c>
      <c r="G272" t="str">
        <f t="shared" si="4"/>
        <v>2020-05-17Москва Запад</v>
      </c>
    </row>
    <row r="273" spans="1:7" ht="14.25" customHeight="1" x14ac:dyDescent="0.3">
      <c r="A273" s="18">
        <v>43968</v>
      </c>
      <c r="B273" s="5" t="s">
        <v>13</v>
      </c>
      <c r="C273" t="s">
        <v>304</v>
      </c>
      <c r="D273" s="5">
        <v>19</v>
      </c>
      <c r="E273" s="5">
        <v>1871</v>
      </c>
      <c r="F273" s="5">
        <v>1660</v>
      </c>
      <c r="G273" t="str">
        <f t="shared" si="4"/>
        <v>2020-05-17Нижний Новгород</v>
      </c>
    </row>
    <row r="274" spans="1:7" ht="14.25" customHeight="1" x14ac:dyDescent="0.3">
      <c r="A274" s="18">
        <v>43968</v>
      </c>
      <c r="B274" s="5" t="s">
        <v>23</v>
      </c>
      <c r="C274" t="s">
        <v>305</v>
      </c>
      <c r="D274" s="5">
        <v>16</v>
      </c>
      <c r="E274" s="5">
        <v>859</v>
      </c>
      <c r="F274" s="5">
        <v>746</v>
      </c>
      <c r="G274" t="str">
        <f t="shared" si="4"/>
        <v>2020-05-17Новосибирск</v>
      </c>
    </row>
    <row r="275" spans="1:7" ht="14.25" customHeight="1" x14ac:dyDescent="0.3">
      <c r="A275" s="18">
        <v>43968</v>
      </c>
      <c r="B275" s="5" t="s">
        <v>18</v>
      </c>
      <c r="C275" t="s">
        <v>306</v>
      </c>
      <c r="D275" s="5">
        <v>15</v>
      </c>
      <c r="E275" s="5">
        <v>971</v>
      </c>
      <c r="F275" s="5">
        <v>856</v>
      </c>
      <c r="G275" t="str">
        <f t="shared" si="4"/>
        <v>2020-05-17Пермь</v>
      </c>
    </row>
    <row r="276" spans="1:7" ht="14.25" customHeight="1" x14ac:dyDescent="0.3">
      <c r="A276" s="18">
        <v>43968</v>
      </c>
      <c r="B276" s="5" t="s">
        <v>19</v>
      </c>
      <c r="C276" t="s">
        <v>307</v>
      </c>
      <c r="D276" s="5">
        <v>15</v>
      </c>
      <c r="E276" s="5">
        <v>692</v>
      </c>
      <c r="F276" s="5">
        <v>591</v>
      </c>
      <c r="G276" t="str">
        <f t="shared" si="4"/>
        <v>2020-05-17Ростов-на-Дону</v>
      </c>
    </row>
    <row r="277" spans="1:7" ht="14.25" customHeight="1" x14ac:dyDescent="0.3">
      <c r="A277" s="18">
        <v>43968</v>
      </c>
      <c r="B277" s="5" t="s">
        <v>15</v>
      </c>
      <c r="C277" t="s">
        <v>308</v>
      </c>
      <c r="D277" s="5">
        <v>125</v>
      </c>
      <c r="E277" s="5">
        <v>20079</v>
      </c>
      <c r="F277" s="5">
        <v>18721</v>
      </c>
      <c r="G277" t="str">
        <f t="shared" si="4"/>
        <v>2020-05-17Санкт-Петербург Север</v>
      </c>
    </row>
    <row r="278" spans="1:7" ht="14.25" customHeight="1" x14ac:dyDescent="0.3">
      <c r="A278" s="18">
        <v>43968</v>
      </c>
      <c r="B278" s="5" t="s">
        <v>14</v>
      </c>
      <c r="C278" t="s">
        <v>309</v>
      </c>
      <c r="D278" s="5">
        <v>129</v>
      </c>
      <c r="E278" s="5">
        <v>15744</v>
      </c>
      <c r="F278" s="5">
        <v>14685</v>
      </c>
      <c r="G278" t="str">
        <f t="shared" si="4"/>
        <v>2020-05-17Санкт-Петербург Юг</v>
      </c>
    </row>
    <row r="279" spans="1:7" ht="14.25" customHeight="1" x14ac:dyDescent="0.3">
      <c r="A279" s="18">
        <v>43968</v>
      </c>
      <c r="B279" s="5" t="s">
        <v>12</v>
      </c>
      <c r="C279" t="s">
        <v>310</v>
      </c>
      <c r="D279" s="5">
        <v>10</v>
      </c>
      <c r="E279" s="5">
        <v>591</v>
      </c>
      <c r="F279" s="5">
        <v>513</v>
      </c>
      <c r="G279" t="str">
        <f t="shared" si="4"/>
        <v>2020-05-17Тольятти</v>
      </c>
    </row>
    <row r="280" spans="1:7" ht="14.25" customHeight="1" x14ac:dyDescent="0.3">
      <c r="A280" s="18">
        <v>43969</v>
      </c>
      <c r="B280" s="5" t="s">
        <v>16</v>
      </c>
      <c r="C280" t="s">
        <v>311</v>
      </c>
      <c r="D280" s="5">
        <v>36</v>
      </c>
      <c r="E280" s="5">
        <v>4885</v>
      </c>
      <c r="F280" s="5">
        <v>4502</v>
      </c>
      <c r="G280" t="str">
        <f t="shared" si="4"/>
        <v>2020-05-18Волгоград</v>
      </c>
    </row>
    <row r="281" spans="1:7" ht="14.25" customHeight="1" x14ac:dyDescent="0.3">
      <c r="A281" s="18">
        <v>43969</v>
      </c>
      <c r="B281" s="5" t="s">
        <v>11</v>
      </c>
      <c r="C281" t="s">
        <v>312</v>
      </c>
      <c r="D281" s="5">
        <v>31</v>
      </c>
      <c r="E281" s="5">
        <v>5165</v>
      </c>
      <c r="F281" s="5">
        <v>4813</v>
      </c>
      <c r="G281" t="str">
        <f t="shared" si="4"/>
        <v>2020-05-18Екатеринбург</v>
      </c>
    </row>
    <row r="282" spans="1:7" ht="14.25" customHeight="1" x14ac:dyDescent="0.3">
      <c r="A282" s="18">
        <v>43969</v>
      </c>
      <c r="B282" s="5" t="s">
        <v>17</v>
      </c>
      <c r="C282" t="s">
        <v>313</v>
      </c>
      <c r="D282" s="5">
        <v>21</v>
      </c>
      <c r="E282" s="5">
        <v>2136</v>
      </c>
      <c r="F282" s="5">
        <v>1947</v>
      </c>
      <c r="G282" t="str">
        <f t="shared" si="4"/>
        <v>2020-05-18Казань</v>
      </c>
    </row>
    <row r="283" spans="1:7" ht="14.25" customHeight="1" x14ac:dyDescent="0.3">
      <c r="A283" s="18">
        <v>43969</v>
      </c>
      <c r="B283" s="5" t="s">
        <v>10</v>
      </c>
      <c r="C283" t="s">
        <v>314</v>
      </c>
      <c r="D283" s="5">
        <v>21</v>
      </c>
      <c r="E283" s="5">
        <v>1834</v>
      </c>
      <c r="F283" s="5">
        <v>1660</v>
      </c>
      <c r="G283" t="str">
        <f t="shared" si="4"/>
        <v>2020-05-18Кемерово</v>
      </c>
    </row>
    <row r="284" spans="1:7" ht="14.25" customHeight="1" x14ac:dyDescent="0.3">
      <c r="A284" s="18">
        <v>43969</v>
      </c>
      <c r="B284" s="5" t="s">
        <v>20</v>
      </c>
      <c r="C284" t="s">
        <v>315</v>
      </c>
      <c r="D284" s="5">
        <v>19</v>
      </c>
      <c r="E284" s="5">
        <v>1741</v>
      </c>
      <c r="F284" s="5">
        <v>1597</v>
      </c>
      <c r="G284" t="str">
        <f t="shared" si="4"/>
        <v>2020-05-18Краснодар</v>
      </c>
    </row>
    <row r="285" spans="1:7" ht="14.25" customHeight="1" x14ac:dyDescent="0.3">
      <c r="A285" s="18">
        <v>43969</v>
      </c>
      <c r="B285" s="5" t="s">
        <v>22</v>
      </c>
      <c r="C285" t="s">
        <v>316</v>
      </c>
      <c r="D285" s="5">
        <v>54</v>
      </c>
      <c r="E285" s="5">
        <v>12012</v>
      </c>
      <c r="F285" s="5">
        <v>11308</v>
      </c>
      <c r="G285" t="str">
        <f t="shared" si="4"/>
        <v>2020-05-18Москва Восток</v>
      </c>
    </row>
    <row r="286" spans="1:7" ht="14.25" customHeight="1" x14ac:dyDescent="0.3">
      <c r="A286" s="18">
        <v>43969</v>
      </c>
      <c r="B286" s="5" t="s">
        <v>21</v>
      </c>
      <c r="C286" t="s">
        <v>317</v>
      </c>
      <c r="D286" s="5">
        <v>60</v>
      </c>
      <c r="E286" s="5">
        <v>12460</v>
      </c>
      <c r="F286" s="5">
        <v>11665</v>
      </c>
      <c r="G286" t="str">
        <f t="shared" si="4"/>
        <v>2020-05-18Москва Запад</v>
      </c>
    </row>
    <row r="287" spans="1:7" ht="14.25" customHeight="1" x14ac:dyDescent="0.3">
      <c r="A287" s="18">
        <v>43969</v>
      </c>
      <c r="B287" s="5" t="s">
        <v>13</v>
      </c>
      <c r="C287" t="s">
        <v>318</v>
      </c>
      <c r="D287" s="5">
        <v>19</v>
      </c>
      <c r="E287" s="5">
        <v>1858</v>
      </c>
      <c r="F287" s="5">
        <v>1648</v>
      </c>
      <c r="G287" t="str">
        <f t="shared" si="4"/>
        <v>2020-05-18Нижний Новгород</v>
      </c>
    </row>
    <row r="288" spans="1:7" ht="14.25" customHeight="1" x14ac:dyDescent="0.3">
      <c r="A288" s="18">
        <v>43969</v>
      </c>
      <c r="B288" s="5" t="s">
        <v>23</v>
      </c>
      <c r="C288" t="s">
        <v>319</v>
      </c>
      <c r="D288" s="5">
        <v>16</v>
      </c>
      <c r="E288" s="5">
        <v>864</v>
      </c>
      <c r="F288" s="5">
        <v>765</v>
      </c>
      <c r="G288" t="str">
        <f t="shared" si="4"/>
        <v>2020-05-18Новосибирск</v>
      </c>
    </row>
    <row r="289" spans="1:7" ht="14.25" customHeight="1" x14ac:dyDescent="0.3">
      <c r="A289" s="18">
        <v>43969</v>
      </c>
      <c r="B289" s="5" t="s">
        <v>18</v>
      </c>
      <c r="C289" t="s">
        <v>320</v>
      </c>
      <c r="D289" s="5">
        <v>16</v>
      </c>
      <c r="E289" s="5">
        <v>925</v>
      </c>
      <c r="F289" s="5">
        <v>816</v>
      </c>
      <c r="G289" t="str">
        <f t="shared" si="4"/>
        <v>2020-05-18Пермь</v>
      </c>
    </row>
    <row r="290" spans="1:7" ht="14.25" customHeight="1" x14ac:dyDescent="0.3">
      <c r="A290" s="18">
        <v>43969</v>
      </c>
      <c r="B290" s="5" t="s">
        <v>19</v>
      </c>
      <c r="C290" t="s">
        <v>321</v>
      </c>
      <c r="D290" s="5">
        <v>15</v>
      </c>
      <c r="E290" s="5">
        <v>729</v>
      </c>
      <c r="F290" s="5">
        <v>636</v>
      </c>
      <c r="G290" t="str">
        <f t="shared" si="4"/>
        <v>2020-05-18Ростов-на-Дону</v>
      </c>
    </row>
    <row r="291" spans="1:7" ht="14.25" customHeight="1" x14ac:dyDescent="0.3">
      <c r="A291" s="18">
        <v>43969</v>
      </c>
      <c r="B291" s="5" t="s">
        <v>15</v>
      </c>
      <c r="C291" t="s">
        <v>322</v>
      </c>
      <c r="D291" s="5">
        <v>125</v>
      </c>
      <c r="E291" s="5">
        <v>20449</v>
      </c>
      <c r="F291" s="5">
        <v>19060</v>
      </c>
      <c r="G291" t="str">
        <f t="shared" si="4"/>
        <v>2020-05-18Санкт-Петербург Север</v>
      </c>
    </row>
    <row r="292" spans="1:7" ht="14.25" customHeight="1" x14ac:dyDescent="0.3">
      <c r="A292" s="18">
        <v>43969</v>
      </c>
      <c r="B292" s="5" t="s">
        <v>14</v>
      </c>
      <c r="C292" t="s">
        <v>323</v>
      </c>
      <c r="D292" s="5">
        <v>129</v>
      </c>
      <c r="E292" s="5">
        <v>16110</v>
      </c>
      <c r="F292" s="5">
        <v>14992</v>
      </c>
      <c r="G292" t="str">
        <f t="shared" si="4"/>
        <v>2020-05-18Санкт-Петербург Юг</v>
      </c>
    </row>
    <row r="293" spans="1:7" ht="14.25" customHeight="1" x14ac:dyDescent="0.3">
      <c r="A293" s="18">
        <v>43969</v>
      </c>
      <c r="B293" s="5" t="s">
        <v>12</v>
      </c>
      <c r="C293" t="s">
        <v>324</v>
      </c>
      <c r="D293" s="5">
        <v>10</v>
      </c>
      <c r="E293" s="5">
        <v>645</v>
      </c>
      <c r="F293" s="5">
        <v>565</v>
      </c>
      <c r="G293" t="str">
        <f t="shared" si="4"/>
        <v>2020-05-18Тольятти</v>
      </c>
    </row>
    <row r="294" spans="1:7" ht="14.25" customHeight="1" x14ac:dyDescent="0.3">
      <c r="A294" s="18">
        <v>43970</v>
      </c>
      <c r="B294" s="5" t="s">
        <v>16</v>
      </c>
      <c r="C294" t="s">
        <v>325</v>
      </c>
      <c r="D294" s="5">
        <v>36</v>
      </c>
      <c r="E294" s="5">
        <v>5094</v>
      </c>
      <c r="F294" s="5">
        <v>4716</v>
      </c>
      <c r="G294" t="str">
        <f t="shared" si="4"/>
        <v>2020-05-19Волгоград</v>
      </c>
    </row>
    <row r="295" spans="1:7" ht="14.25" customHeight="1" x14ac:dyDescent="0.3">
      <c r="A295" s="18">
        <v>43970</v>
      </c>
      <c r="B295" s="5" t="s">
        <v>11</v>
      </c>
      <c r="C295" t="s">
        <v>326</v>
      </c>
      <c r="D295" s="5">
        <v>31</v>
      </c>
      <c r="E295" s="5">
        <v>5389</v>
      </c>
      <c r="F295" s="5">
        <v>5024</v>
      </c>
      <c r="G295" t="str">
        <f t="shared" si="4"/>
        <v>2020-05-19Екатеринбург</v>
      </c>
    </row>
    <row r="296" spans="1:7" ht="14.25" customHeight="1" x14ac:dyDescent="0.3">
      <c r="A296" s="18">
        <v>43970</v>
      </c>
      <c r="B296" s="5" t="s">
        <v>17</v>
      </c>
      <c r="C296" t="s">
        <v>327</v>
      </c>
      <c r="D296" s="5">
        <v>21</v>
      </c>
      <c r="E296" s="5">
        <v>2245</v>
      </c>
      <c r="F296" s="5">
        <v>2053</v>
      </c>
      <c r="G296" t="str">
        <f t="shared" si="4"/>
        <v>2020-05-19Казань</v>
      </c>
    </row>
    <row r="297" spans="1:7" ht="14.25" customHeight="1" x14ac:dyDescent="0.3">
      <c r="A297" s="18">
        <v>43970</v>
      </c>
      <c r="B297" s="5" t="s">
        <v>10</v>
      </c>
      <c r="C297" t="s">
        <v>328</v>
      </c>
      <c r="D297" s="5">
        <v>21</v>
      </c>
      <c r="E297" s="5">
        <v>1860</v>
      </c>
      <c r="F297" s="5">
        <v>1704</v>
      </c>
      <c r="G297" t="str">
        <f t="shared" si="4"/>
        <v>2020-05-19Кемерово</v>
      </c>
    </row>
    <row r="298" spans="1:7" ht="14.25" customHeight="1" x14ac:dyDescent="0.3">
      <c r="A298" s="18">
        <v>43970</v>
      </c>
      <c r="B298" s="5" t="s">
        <v>20</v>
      </c>
      <c r="C298" t="s">
        <v>329</v>
      </c>
      <c r="D298" s="5">
        <v>19</v>
      </c>
      <c r="E298" s="5">
        <v>1831</v>
      </c>
      <c r="F298" s="5">
        <v>1667</v>
      </c>
      <c r="G298" t="str">
        <f t="shared" si="4"/>
        <v>2020-05-19Краснодар</v>
      </c>
    </row>
    <row r="299" spans="1:7" ht="14.25" customHeight="1" x14ac:dyDescent="0.3">
      <c r="A299" s="18">
        <v>43970</v>
      </c>
      <c r="B299" s="5" t="s">
        <v>22</v>
      </c>
      <c r="C299" t="s">
        <v>330</v>
      </c>
      <c r="D299" s="5">
        <v>54</v>
      </c>
      <c r="E299" s="5">
        <v>13070</v>
      </c>
      <c r="F299" s="5">
        <v>12244</v>
      </c>
      <c r="G299" t="str">
        <f t="shared" si="4"/>
        <v>2020-05-19Москва Восток</v>
      </c>
    </row>
    <row r="300" spans="1:7" ht="14.25" customHeight="1" x14ac:dyDescent="0.3">
      <c r="A300" s="18">
        <v>43970</v>
      </c>
      <c r="B300" s="5" t="s">
        <v>21</v>
      </c>
      <c r="C300" t="s">
        <v>331</v>
      </c>
      <c r="D300" s="5">
        <v>60</v>
      </c>
      <c r="E300" s="5">
        <v>13867</v>
      </c>
      <c r="F300" s="5">
        <v>12987</v>
      </c>
      <c r="G300" t="str">
        <f t="shared" si="4"/>
        <v>2020-05-19Москва Запад</v>
      </c>
    </row>
    <row r="301" spans="1:7" ht="14.25" customHeight="1" x14ac:dyDescent="0.3">
      <c r="A301" s="18">
        <v>43970</v>
      </c>
      <c r="B301" s="5" t="s">
        <v>13</v>
      </c>
      <c r="C301" t="s">
        <v>332</v>
      </c>
      <c r="D301" s="5">
        <v>19</v>
      </c>
      <c r="E301" s="5">
        <v>1999</v>
      </c>
      <c r="F301" s="5">
        <v>1799</v>
      </c>
      <c r="G301" t="str">
        <f t="shared" si="4"/>
        <v>2020-05-19Нижний Новгород</v>
      </c>
    </row>
    <row r="302" spans="1:7" ht="14.25" customHeight="1" x14ac:dyDescent="0.3">
      <c r="A302" s="18">
        <v>43970</v>
      </c>
      <c r="B302" s="5" t="s">
        <v>23</v>
      </c>
      <c r="C302" t="s">
        <v>333</v>
      </c>
      <c r="D302" s="5">
        <v>17</v>
      </c>
      <c r="E302" s="5">
        <v>857</v>
      </c>
      <c r="F302" s="5">
        <v>757</v>
      </c>
      <c r="G302" t="str">
        <f t="shared" si="4"/>
        <v>2020-05-19Новосибирск</v>
      </c>
    </row>
    <row r="303" spans="1:7" ht="14.25" customHeight="1" x14ac:dyDescent="0.3">
      <c r="A303" s="18">
        <v>43970</v>
      </c>
      <c r="B303" s="5" t="s">
        <v>18</v>
      </c>
      <c r="C303" t="s">
        <v>334</v>
      </c>
      <c r="D303" s="5">
        <v>16</v>
      </c>
      <c r="E303" s="5">
        <v>1012</v>
      </c>
      <c r="F303" s="5">
        <v>900</v>
      </c>
      <c r="G303" t="str">
        <f t="shared" si="4"/>
        <v>2020-05-19Пермь</v>
      </c>
    </row>
    <row r="304" spans="1:7" ht="14.25" customHeight="1" x14ac:dyDescent="0.3">
      <c r="A304" s="18">
        <v>43970</v>
      </c>
      <c r="B304" s="5" t="s">
        <v>19</v>
      </c>
      <c r="C304" t="s">
        <v>335</v>
      </c>
      <c r="D304" s="5">
        <v>15</v>
      </c>
      <c r="E304" s="5">
        <v>930</v>
      </c>
      <c r="F304" s="5">
        <v>827</v>
      </c>
      <c r="G304" t="str">
        <f t="shared" si="4"/>
        <v>2020-05-19Ростов-на-Дону</v>
      </c>
    </row>
    <row r="305" spans="1:7" ht="14.25" customHeight="1" x14ac:dyDescent="0.3">
      <c r="A305" s="18">
        <v>43970</v>
      </c>
      <c r="B305" s="5" t="s">
        <v>15</v>
      </c>
      <c r="C305" t="s">
        <v>336</v>
      </c>
      <c r="D305" s="5">
        <v>125</v>
      </c>
      <c r="E305" s="5">
        <v>20771</v>
      </c>
      <c r="F305" s="5">
        <v>19338</v>
      </c>
      <c r="G305" t="str">
        <f t="shared" si="4"/>
        <v>2020-05-19Санкт-Петербург Север</v>
      </c>
    </row>
    <row r="306" spans="1:7" ht="14.25" customHeight="1" x14ac:dyDescent="0.3">
      <c r="A306" s="18">
        <v>43970</v>
      </c>
      <c r="B306" s="5" t="s">
        <v>14</v>
      </c>
      <c r="C306" t="s">
        <v>337</v>
      </c>
      <c r="D306" s="5">
        <v>129</v>
      </c>
      <c r="E306" s="5">
        <v>16191</v>
      </c>
      <c r="F306" s="5">
        <v>15102</v>
      </c>
      <c r="G306" t="str">
        <f t="shared" si="4"/>
        <v>2020-05-19Санкт-Петербург Юг</v>
      </c>
    </row>
    <row r="307" spans="1:7" ht="14.25" customHeight="1" x14ac:dyDescent="0.3">
      <c r="A307" s="18">
        <v>43970</v>
      </c>
      <c r="B307" s="5" t="s">
        <v>12</v>
      </c>
      <c r="C307" t="s">
        <v>338</v>
      </c>
      <c r="D307" s="5">
        <v>10</v>
      </c>
      <c r="E307" s="5">
        <v>649</v>
      </c>
      <c r="F307" s="5">
        <v>568</v>
      </c>
      <c r="G307" t="str">
        <f t="shared" si="4"/>
        <v>2020-05-19Тольятти</v>
      </c>
    </row>
    <row r="308" spans="1:7" ht="14.25" customHeight="1" x14ac:dyDescent="0.3">
      <c r="A308" s="18">
        <v>43971</v>
      </c>
      <c r="B308" s="5" t="s">
        <v>16</v>
      </c>
      <c r="C308" t="s">
        <v>339</v>
      </c>
      <c r="D308" s="5">
        <v>36</v>
      </c>
      <c r="E308" s="5">
        <v>5914</v>
      </c>
      <c r="F308" s="5">
        <v>5384</v>
      </c>
      <c r="G308" t="str">
        <f t="shared" si="4"/>
        <v>2020-05-20Волгоград</v>
      </c>
    </row>
    <row r="309" spans="1:7" ht="14.25" customHeight="1" x14ac:dyDescent="0.3">
      <c r="A309" s="18">
        <v>43971</v>
      </c>
      <c r="B309" s="5" t="s">
        <v>11</v>
      </c>
      <c r="C309" t="s">
        <v>340</v>
      </c>
      <c r="D309" s="5">
        <v>31</v>
      </c>
      <c r="E309" s="5">
        <v>5698</v>
      </c>
      <c r="F309" s="5">
        <v>5258</v>
      </c>
      <c r="G309" t="str">
        <f t="shared" si="4"/>
        <v>2020-05-20Екатеринбург</v>
      </c>
    </row>
    <row r="310" spans="1:7" ht="14.25" customHeight="1" x14ac:dyDescent="0.3">
      <c r="A310" s="18">
        <v>43971</v>
      </c>
      <c r="B310" s="5" t="s">
        <v>17</v>
      </c>
      <c r="C310" t="s">
        <v>341</v>
      </c>
      <c r="D310" s="5">
        <v>21</v>
      </c>
      <c r="E310" s="5">
        <v>2410</v>
      </c>
      <c r="F310" s="5">
        <v>2202</v>
      </c>
      <c r="G310" t="str">
        <f t="shared" si="4"/>
        <v>2020-05-20Казань</v>
      </c>
    </row>
    <row r="311" spans="1:7" ht="14.25" customHeight="1" x14ac:dyDescent="0.3">
      <c r="A311" s="18">
        <v>43971</v>
      </c>
      <c r="B311" s="5" t="s">
        <v>10</v>
      </c>
      <c r="C311" t="s">
        <v>342</v>
      </c>
      <c r="D311" s="5">
        <v>21</v>
      </c>
      <c r="E311" s="5">
        <v>1921</v>
      </c>
      <c r="F311" s="5">
        <v>1767</v>
      </c>
      <c r="G311" t="str">
        <f t="shared" si="4"/>
        <v>2020-05-20Кемерово</v>
      </c>
    </row>
    <row r="312" spans="1:7" ht="14.25" customHeight="1" x14ac:dyDescent="0.3">
      <c r="A312" s="18">
        <v>43971</v>
      </c>
      <c r="B312" s="5" t="s">
        <v>20</v>
      </c>
      <c r="C312" t="s">
        <v>343</v>
      </c>
      <c r="D312" s="5">
        <v>19</v>
      </c>
      <c r="E312" s="5">
        <v>1823</v>
      </c>
      <c r="F312" s="5">
        <v>1678</v>
      </c>
      <c r="G312" t="str">
        <f t="shared" si="4"/>
        <v>2020-05-20Краснодар</v>
      </c>
    </row>
    <row r="313" spans="1:7" ht="14.25" customHeight="1" x14ac:dyDescent="0.3">
      <c r="A313" s="18">
        <v>43971</v>
      </c>
      <c r="B313" s="5" t="s">
        <v>22</v>
      </c>
      <c r="C313" t="s">
        <v>344</v>
      </c>
      <c r="D313" s="5">
        <v>54</v>
      </c>
      <c r="E313" s="5">
        <v>13298</v>
      </c>
      <c r="F313" s="5">
        <v>12428</v>
      </c>
      <c r="G313" t="str">
        <f t="shared" si="4"/>
        <v>2020-05-20Москва Восток</v>
      </c>
    </row>
    <row r="314" spans="1:7" ht="14.25" customHeight="1" x14ac:dyDescent="0.3">
      <c r="A314" s="18">
        <v>43971</v>
      </c>
      <c r="B314" s="5" t="s">
        <v>21</v>
      </c>
      <c r="C314" t="s">
        <v>345</v>
      </c>
      <c r="D314" s="5">
        <v>60</v>
      </c>
      <c r="E314" s="5">
        <v>13792</v>
      </c>
      <c r="F314" s="5">
        <v>12834</v>
      </c>
      <c r="G314" t="str">
        <f t="shared" si="4"/>
        <v>2020-05-20Москва Запад</v>
      </c>
    </row>
    <row r="315" spans="1:7" ht="14.25" customHeight="1" x14ac:dyDescent="0.3">
      <c r="A315" s="18">
        <v>43971</v>
      </c>
      <c r="B315" s="5" t="s">
        <v>13</v>
      </c>
      <c r="C315" t="s">
        <v>346</v>
      </c>
      <c r="D315" s="5">
        <v>19</v>
      </c>
      <c r="E315" s="5">
        <v>1889</v>
      </c>
      <c r="F315" s="5">
        <v>1690</v>
      </c>
      <c r="G315" t="str">
        <f t="shared" si="4"/>
        <v>2020-05-20Нижний Новгород</v>
      </c>
    </row>
    <row r="316" spans="1:7" ht="14.25" customHeight="1" x14ac:dyDescent="0.3">
      <c r="A316" s="18">
        <v>43971</v>
      </c>
      <c r="B316" s="5" t="s">
        <v>23</v>
      </c>
      <c r="C316" t="s">
        <v>347</v>
      </c>
      <c r="D316" s="5">
        <v>17</v>
      </c>
      <c r="E316" s="5">
        <v>890</v>
      </c>
      <c r="F316" s="5">
        <v>794</v>
      </c>
      <c r="G316" t="str">
        <f t="shared" si="4"/>
        <v>2020-05-20Новосибирск</v>
      </c>
    </row>
    <row r="317" spans="1:7" ht="14.25" customHeight="1" x14ac:dyDescent="0.3">
      <c r="A317" s="18">
        <v>43971</v>
      </c>
      <c r="B317" s="5" t="s">
        <v>18</v>
      </c>
      <c r="C317" t="s">
        <v>348</v>
      </c>
      <c r="D317" s="5">
        <v>16</v>
      </c>
      <c r="E317" s="5">
        <v>1050</v>
      </c>
      <c r="F317" s="5">
        <v>938</v>
      </c>
      <c r="G317" t="str">
        <f t="shared" si="4"/>
        <v>2020-05-20Пермь</v>
      </c>
    </row>
    <row r="318" spans="1:7" ht="14.25" customHeight="1" x14ac:dyDescent="0.3">
      <c r="A318" s="18">
        <v>43971</v>
      </c>
      <c r="B318" s="5" t="s">
        <v>19</v>
      </c>
      <c r="C318" t="s">
        <v>349</v>
      </c>
      <c r="D318" s="5">
        <v>15</v>
      </c>
      <c r="E318" s="5">
        <v>760</v>
      </c>
      <c r="F318" s="5">
        <v>664</v>
      </c>
      <c r="G318" t="str">
        <f t="shared" si="4"/>
        <v>2020-05-20Ростов-на-Дону</v>
      </c>
    </row>
    <row r="319" spans="1:7" ht="14.25" customHeight="1" x14ac:dyDescent="0.3">
      <c r="A319" s="18">
        <v>43971</v>
      </c>
      <c r="B319" s="5" t="s">
        <v>15</v>
      </c>
      <c r="C319" t="s">
        <v>350</v>
      </c>
      <c r="D319" s="5">
        <v>125</v>
      </c>
      <c r="E319" s="5">
        <v>21674</v>
      </c>
      <c r="F319" s="5">
        <v>20155</v>
      </c>
      <c r="G319" t="str">
        <f t="shared" si="4"/>
        <v>2020-05-20Санкт-Петербург Север</v>
      </c>
    </row>
    <row r="320" spans="1:7" ht="14.25" customHeight="1" x14ac:dyDescent="0.3">
      <c r="A320" s="18">
        <v>43971</v>
      </c>
      <c r="B320" s="5" t="s">
        <v>14</v>
      </c>
      <c r="C320" t="s">
        <v>351</v>
      </c>
      <c r="D320" s="5">
        <v>129</v>
      </c>
      <c r="E320" s="5">
        <v>17095</v>
      </c>
      <c r="F320" s="5">
        <v>15919</v>
      </c>
      <c r="G320" t="str">
        <f t="shared" si="4"/>
        <v>2020-05-20Санкт-Петербург Юг</v>
      </c>
    </row>
    <row r="321" spans="1:7" ht="14.25" customHeight="1" x14ac:dyDescent="0.3">
      <c r="A321" s="18">
        <v>43971</v>
      </c>
      <c r="B321" s="5" t="s">
        <v>12</v>
      </c>
      <c r="C321" t="s">
        <v>352</v>
      </c>
      <c r="D321" s="5">
        <v>10</v>
      </c>
      <c r="E321" s="5">
        <v>745</v>
      </c>
      <c r="F321" s="5">
        <v>654</v>
      </c>
      <c r="G321" t="str">
        <f t="shared" si="4"/>
        <v>2020-05-20Тольятти</v>
      </c>
    </row>
    <row r="322" spans="1:7" ht="14.25" customHeight="1" x14ac:dyDescent="0.3">
      <c r="A322" s="18">
        <v>43972</v>
      </c>
      <c r="B322" s="5" t="s">
        <v>16</v>
      </c>
      <c r="C322" t="s">
        <v>353</v>
      </c>
      <c r="D322" s="5">
        <v>36</v>
      </c>
      <c r="E322" s="5">
        <v>4816</v>
      </c>
      <c r="F322" s="5">
        <v>4452</v>
      </c>
      <c r="G322" t="str">
        <f t="shared" si="4"/>
        <v>2020-05-21Волгоград</v>
      </c>
    </row>
    <row r="323" spans="1:7" ht="14.25" customHeight="1" x14ac:dyDescent="0.3">
      <c r="A323" s="18">
        <v>43972</v>
      </c>
      <c r="B323" s="5" t="s">
        <v>11</v>
      </c>
      <c r="C323" t="s">
        <v>354</v>
      </c>
      <c r="D323" s="5">
        <v>31</v>
      </c>
      <c r="E323" s="5">
        <v>5207</v>
      </c>
      <c r="F323" s="5">
        <v>4868</v>
      </c>
      <c r="G323" t="str">
        <f t="shared" ref="G323:G386" si="5">TEXT(A323,"yyyy-mm-dd") &amp; TRIM(B323)</f>
        <v>2020-05-21Екатеринбург</v>
      </c>
    </row>
    <row r="324" spans="1:7" ht="14.25" customHeight="1" x14ac:dyDescent="0.3">
      <c r="A324" s="18">
        <v>43972</v>
      </c>
      <c r="B324" s="5" t="s">
        <v>17</v>
      </c>
      <c r="C324" t="s">
        <v>355</v>
      </c>
      <c r="D324" s="5">
        <v>21</v>
      </c>
      <c r="E324" s="5">
        <v>2335</v>
      </c>
      <c r="F324" s="5">
        <v>2126</v>
      </c>
      <c r="G324" t="str">
        <f t="shared" si="5"/>
        <v>2020-05-21Казань</v>
      </c>
    </row>
    <row r="325" spans="1:7" ht="14.25" customHeight="1" x14ac:dyDescent="0.3">
      <c r="A325" s="18">
        <v>43972</v>
      </c>
      <c r="B325" s="5" t="s">
        <v>10</v>
      </c>
      <c r="C325" t="s">
        <v>356</v>
      </c>
      <c r="D325" s="5">
        <v>21</v>
      </c>
      <c r="E325" s="5">
        <v>1787</v>
      </c>
      <c r="F325" s="5">
        <v>1626</v>
      </c>
      <c r="G325" t="str">
        <f t="shared" si="5"/>
        <v>2020-05-21Кемерово</v>
      </c>
    </row>
    <row r="326" spans="1:7" ht="14.25" customHeight="1" x14ac:dyDescent="0.3">
      <c r="A326" s="18">
        <v>43972</v>
      </c>
      <c r="B326" s="5" t="s">
        <v>20</v>
      </c>
      <c r="C326" t="s">
        <v>357</v>
      </c>
      <c r="D326" s="5">
        <v>19</v>
      </c>
      <c r="E326" s="5">
        <v>1650</v>
      </c>
      <c r="F326" s="5">
        <v>1505</v>
      </c>
      <c r="G326" t="str">
        <f t="shared" si="5"/>
        <v>2020-05-21Краснодар</v>
      </c>
    </row>
    <row r="327" spans="1:7" ht="14.25" customHeight="1" x14ac:dyDescent="0.3">
      <c r="A327" s="18">
        <v>43972</v>
      </c>
      <c r="B327" s="5" t="s">
        <v>22</v>
      </c>
      <c r="C327" t="s">
        <v>358</v>
      </c>
      <c r="D327" s="5">
        <v>54</v>
      </c>
      <c r="E327" s="5">
        <v>13240</v>
      </c>
      <c r="F327" s="5">
        <v>12360</v>
      </c>
      <c r="G327" t="str">
        <f t="shared" si="5"/>
        <v>2020-05-21Москва Восток</v>
      </c>
    </row>
    <row r="328" spans="1:7" ht="14.25" customHeight="1" x14ac:dyDescent="0.3">
      <c r="A328" s="18">
        <v>43972</v>
      </c>
      <c r="B328" s="5" t="s">
        <v>21</v>
      </c>
      <c r="C328" t="s">
        <v>359</v>
      </c>
      <c r="D328" s="5">
        <v>60</v>
      </c>
      <c r="E328" s="5">
        <v>14005</v>
      </c>
      <c r="F328" s="5">
        <v>13002</v>
      </c>
      <c r="G328" t="str">
        <f t="shared" si="5"/>
        <v>2020-05-21Москва Запад</v>
      </c>
    </row>
    <row r="329" spans="1:7" ht="14.25" customHeight="1" x14ac:dyDescent="0.3">
      <c r="A329" s="18">
        <v>43972</v>
      </c>
      <c r="B329" s="5" t="s">
        <v>13</v>
      </c>
      <c r="C329" t="s">
        <v>360</v>
      </c>
      <c r="D329" s="5">
        <v>19</v>
      </c>
      <c r="E329" s="5">
        <v>1949</v>
      </c>
      <c r="F329" s="5">
        <v>1724</v>
      </c>
      <c r="G329" t="str">
        <f t="shared" si="5"/>
        <v>2020-05-21Нижний Новгород</v>
      </c>
    </row>
    <row r="330" spans="1:7" ht="14.25" customHeight="1" x14ac:dyDescent="0.3">
      <c r="A330" s="18">
        <v>43972</v>
      </c>
      <c r="B330" s="5" t="s">
        <v>23</v>
      </c>
      <c r="C330" t="s">
        <v>361</v>
      </c>
      <c r="D330" s="5">
        <v>18</v>
      </c>
      <c r="E330" s="5">
        <v>888</v>
      </c>
      <c r="F330" s="5">
        <v>786</v>
      </c>
      <c r="G330" t="str">
        <f t="shared" si="5"/>
        <v>2020-05-21Новосибирск</v>
      </c>
    </row>
    <row r="331" spans="1:7" ht="14.25" customHeight="1" x14ac:dyDescent="0.3">
      <c r="A331" s="18">
        <v>43972</v>
      </c>
      <c r="B331" s="5" t="s">
        <v>18</v>
      </c>
      <c r="C331" t="s">
        <v>362</v>
      </c>
      <c r="D331" s="5">
        <v>17</v>
      </c>
      <c r="E331" s="5">
        <v>1045</v>
      </c>
      <c r="F331" s="5">
        <v>930</v>
      </c>
      <c r="G331" t="str">
        <f t="shared" si="5"/>
        <v>2020-05-21Пермь</v>
      </c>
    </row>
    <row r="332" spans="1:7" ht="14.25" customHeight="1" x14ac:dyDescent="0.3">
      <c r="A332" s="18">
        <v>43972</v>
      </c>
      <c r="B332" s="5" t="s">
        <v>19</v>
      </c>
      <c r="C332" t="s">
        <v>363</v>
      </c>
      <c r="D332" s="5">
        <v>15</v>
      </c>
      <c r="E332" s="5">
        <v>749</v>
      </c>
      <c r="F332" s="5">
        <v>652</v>
      </c>
      <c r="G332" t="str">
        <f t="shared" si="5"/>
        <v>2020-05-21Ростов-на-Дону</v>
      </c>
    </row>
    <row r="333" spans="1:7" ht="14.25" customHeight="1" x14ac:dyDescent="0.3">
      <c r="A333" s="18">
        <v>43972</v>
      </c>
      <c r="B333" s="5" t="s">
        <v>15</v>
      </c>
      <c r="C333" t="s">
        <v>364</v>
      </c>
      <c r="D333" s="5">
        <v>125</v>
      </c>
      <c r="E333" s="5">
        <v>20911</v>
      </c>
      <c r="F333" s="5">
        <v>19358</v>
      </c>
      <c r="G333" t="str">
        <f t="shared" si="5"/>
        <v>2020-05-21Санкт-Петербург Север</v>
      </c>
    </row>
    <row r="334" spans="1:7" ht="14.25" customHeight="1" x14ac:dyDescent="0.3">
      <c r="A334" s="18">
        <v>43972</v>
      </c>
      <c r="B334" s="5" t="s">
        <v>14</v>
      </c>
      <c r="C334" t="s">
        <v>365</v>
      </c>
      <c r="D334" s="5">
        <v>129</v>
      </c>
      <c r="E334" s="5">
        <v>16373</v>
      </c>
      <c r="F334" s="5">
        <v>15223</v>
      </c>
      <c r="G334" t="str">
        <f t="shared" si="5"/>
        <v>2020-05-21Санкт-Петербург Юг</v>
      </c>
    </row>
    <row r="335" spans="1:7" ht="14.25" customHeight="1" x14ac:dyDescent="0.3">
      <c r="A335" s="18">
        <v>43972</v>
      </c>
      <c r="B335" s="5" t="s">
        <v>12</v>
      </c>
      <c r="C335" t="s">
        <v>366</v>
      </c>
      <c r="D335" s="5">
        <v>10</v>
      </c>
      <c r="E335" s="5">
        <v>677</v>
      </c>
      <c r="F335" s="5">
        <v>591</v>
      </c>
      <c r="G335" t="str">
        <f t="shared" si="5"/>
        <v>2020-05-21Тольятти</v>
      </c>
    </row>
    <row r="336" spans="1:7" ht="14.25" customHeight="1" x14ac:dyDescent="0.3">
      <c r="A336" s="18">
        <v>43973</v>
      </c>
      <c r="B336" s="5" t="s">
        <v>16</v>
      </c>
      <c r="C336" t="s">
        <v>367</v>
      </c>
      <c r="D336" s="5">
        <v>36</v>
      </c>
      <c r="E336" s="5">
        <v>4857</v>
      </c>
      <c r="F336" s="5">
        <v>4456</v>
      </c>
      <c r="G336" t="str">
        <f t="shared" si="5"/>
        <v>2020-05-22Волгоград</v>
      </c>
    </row>
    <row r="337" spans="1:7" ht="14.25" customHeight="1" x14ac:dyDescent="0.3">
      <c r="A337" s="18">
        <v>43973</v>
      </c>
      <c r="B337" s="5" t="s">
        <v>11</v>
      </c>
      <c r="C337" t="s">
        <v>368</v>
      </c>
      <c r="D337" s="5">
        <v>31</v>
      </c>
      <c r="E337" s="5">
        <v>5965</v>
      </c>
      <c r="F337" s="5">
        <v>5533</v>
      </c>
      <c r="G337" t="str">
        <f t="shared" si="5"/>
        <v>2020-05-22Екатеринбург</v>
      </c>
    </row>
    <row r="338" spans="1:7" ht="14.25" customHeight="1" x14ac:dyDescent="0.3">
      <c r="A338" s="18">
        <v>43973</v>
      </c>
      <c r="B338" s="5" t="s">
        <v>17</v>
      </c>
      <c r="C338" t="s">
        <v>369</v>
      </c>
      <c r="D338" s="5">
        <v>21</v>
      </c>
      <c r="E338" s="5">
        <v>2861</v>
      </c>
      <c r="F338" s="5">
        <v>2612</v>
      </c>
      <c r="G338" t="str">
        <f t="shared" si="5"/>
        <v>2020-05-22Казань</v>
      </c>
    </row>
    <row r="339" spans="1:7" ht="14.25" customHeight="1" x14ac:dyDescent="0.3">
      <c r="A339" s="18">
        <v>43973</v>
      </c>
      <c r="B339" s="5" t="s">
        <v>10</v>
      </c>
      <c r="C339" t="s">
        <v>370</v>
      </c>
      <c r="D339" s="5">
        <v>21</v>
      </c>
      <c r="E339" s="5">
        <v>2046</v>
      </c>
      <c r="F339" s="5">
        <v>1853</v>
      </c>
      <c r="G339" t="str">
        <f t="shared" si="5"/>
        <v>2020-05-22Кемерово</v>
      </c>
    </row>
    <row r="340" spans="1:7" ht="14.25" customHeight="1" x14ac:dyDescent="0.3">
      <c r="A340" s="18">
        <v>43973</v>
      </c>
      <c r="B340" s="5" t="s">
        <v>20</v>
      </c>
      <c r="C340" t="s">
        <v>371</v>
      </c>
      <c r="D340" s="5">
        <v>19</v>
      </c>
      <c r="E340" s="5">
        <v>1859</v>
      </c>
      <c r="F340" s="5">
        <v>1697</v>
      </c>
      <c r="G340" t="str">
        <f t="shared" si="5"/>
        <v>2020-05-22Краснодар</v>
      </c>
    </row>
    <row r="341" spans="1:7" ht="14.25" customHeight="1" x14ac:dyDescent="0.3">
      <c r="A341" s="18">
        <v>43973</v>
      </c>
      <c r="B341" s="5" t="s">
        <v>22</v>
      </c>
      <c r="C341" t="s">
        <v>372</v>
      </c>
      <c r="D341" s="5">
        <v>54</v>
      </c>
      <c r="E341" s="5">
        <v>13014</v>
      </c>
      <c r="F341" s="5">
        <v>12095</v>
      </c>
      <c r="G341" t="str">
        <f t="shared" si="5"/>
        <v>2020-05-22Москва Восток</v>
      </c>
    </row>
    <row r="342" spans="1:7" ht="14.25" customHeight="1" x14ac:dyDescent="0.3">
      <c r="A342" s="18">
        <v>43973</v>
      </c>
      <c r="B342" s="5" t="s">
        <v>21</v>
      </c>
      <c r="C342" t="s">
        <v>373</v>
      </c>
      <c r="D342" s="5">
        <v>60</v>
      </c>
      <c r="E342" s="5">
        <v>14050</v>
      </c>
      <c r="F342" s="5">
        <v>13027</v>
      </c>
      <c r="G342" t="str">
        <f t="shared" si="5"/>
        <v>2020-05-22Москва Запад</v>
      </c>
    </row>
    <row r="343" spans="1:7" ht="14.25" customHeight="1" x14ac:dyDescent="0.3">
      <c r="A343" s="18">
        <v>43973</v>
      </c>
      <c r="B343" s="5" t="s">
        <v>13</v>
      </c>
      <c r="C343" t="s">
        <v>374</v>
      </c>
      <c r="D343" s="5">
        <v>20</v>
      </c>
      <c r="E343" s="5">
        <v>2306</v>
      </c>
      <c r="F343" s="5">
        <v>2054</v>
      </c>
      <c r="G343" t="str">
        <f t="shared" si="5"/>
        <v>2020-05-22Нижний Новгород</v>
      </c>
    </row>
    <row r="344" spans="1:7" ht="14.25" customHeight="1" x14ac:dyDescent="0.3">
      <c r="A344" s="18">
        <v>43973</v>
      </c>
      <c r="B344" s="5" t="s">
        <v>23</v>
      </c>
      <c r="C344" t="s">
        <v>375</v>
      </c>
      <c r="D344" s="5">
        <v>18</v>
      </c>
      <c r="E344" s="5">
        <v>985</v>
      </c>
      <c r="F344" s="5">
        <v>861</v>
      </c>
      <c r="G344" t="str">
        <f t="shared" si="5"/>
        <v>2020-05-22Новосибирск</v>
      </c>
    </row>
    <row r="345" spans="1:7" ht="14.25" customHeight="1" x14ac:dyDescent="0.3">
      <c r="A345" s="18">
        <v>43973</v>
      </c>
      <c r="B345" s="5" t="s">
        <v>18</v>
      </c>
      <c r="C345" t="s">
        <v>376</v>
      </c>
      <c r="D345" s="5">
        <v>17</v>
      </c>
      <c r="E345" s="5">
        <v>1268</v>
      </c>
      <c r="F345" s="5">
        <v>1129</v>
      </c>
      <c r="G345" t="str">
        <f t="shared" si="5"/>
        <v>2020-05-22Пермь</v>
      </c>
    </row>
    <row r="346" spans="1:7" ht="14.25" customHeight="1" x14ac:dyDescent="0.3">
      <c r="A346" s="18">
        <v>43973</v>
      </c>
      <c r="B346" s="5" t="s">
        <v>19</v>
      </c>
      <c r="C346" t="s">
        <v>377</v>
      </c>
      <c r="D346" s="5">
        <v>15</v>
      </c>
      <c r="E346" s="5">
        <v>903</v>
      </c>
      <c r="F346" s="5">
        <v>792</v>
      </c>
      <c r="G346" t="str">
        <f t="shared" si="5"/>
        <v>2020-05-22Ростов-на-Дону</v>
      </c>
    </row>
    <row r="347" spans="1:7" ht="14.25" customHeight="1" x14ac:dyDescent="0.3">
      <c r="A347" s="18">
        <v>43973</v>
      </c>
      <c r="B347" s="5" t="s">
        <v>15</v>
      </c>
      <c r="C347" t="s">
        <v>378</v>
      </c>
      <c r="D347" s="5">
        <v>125</v>
      </c>
      <c r="E347" s="5">
        <v>21427</v>
      </c>
      <c r="F347" s="5">
        <v>19799</v>
      </c>
      <c r="G347" t="str">
        <f t="shared" si="5"/>
        <v>2020-05-22Санкт-Петербург Север</v>
      </c>
    </row>
    <row r="348" spans="1:7" ht="14.25" customHeight="1" x14ac:dyDescent="0.3">
      <c r="A348" s="18">
        <v>43973</v>
      </c>
      <c r="B348" s="5" t="s">
        <v>14</v>
      </c>
      <c r="C348" t="s">
        <v>379</v>
      </c>
      <c r="D348" s="5">
        <v>129</v>
      </c>
      <c r="E348" s="5">
        <v>17088</v>
      </c>
      <c r="F348" s="5">
        <v>15804</v>
      </c>
      <c r="G348" t="str">
        <f t="shared" si="5"/>
        <v>2020-05-22Санкт-Петербург Юг</v>
      </c>
    </row>
    <row r="349" spans="1:7" ht="14.25" customHeight="1" x14ac:dyDescent="0.3">
      <c r="A349" s="18">
        <v>43973</v>
      </c>
      <c r="B349" s="5" t="s">
        <v>12</v>
      </c>
      <c r="C349" t="s">
        <v>380</v>
      </c>
      <c r="D349" s="5">
        <v>10</v>
      </c>
      <c r="E349" s="5">
        <v>965</v>
      </c>
      <c r="F349" s="5">
        <v>861</v>
      </c>
      <c r="G349" t="str">
        <f t="shared" si="5"/>
        <v>2020-05-22Тольятти</v>
      </c>
    </row>
    <row r="350" spans="1:7" ht="14.25" customHeight="1" x14ac:dyDescent="0.3">
      <c r="A350" s="18">
        <v>43974</v>
      </c>
      <c r="B350" s="5" t="s">
        <v>16</v>
      </c>
      <c r="C350" t="s">
        <v>381</v>
      </c>
      <c r="D350" s="5">
        <v>36</v>
      </c>
      <c r="E350" s="5">
        <v>5651</v>
      </c>
      <c r="F350" s="5">
        <v>5212</v>
      </c>
      <c r="G350" t="str">
        <f t="shared" si="5"/>
        <v>2020-05-23Волгоград</v>
      </c>
    </row>
    <row r="351" spans="1:7" ht="14.25" customHeight="1" x14ac:dyDescent="0.3">
      <c r="A351" s="18">
        <v>43974</v>
      </c>
      <c r="B351" s="5" t="s">
        <v>11</v>
      </c>
      <c r="C351" t="s">
        <v>382</v>
      </c>
      <c r="D351" s="5">
        <v>31</v>
      </c>
      <c r="E351" s="5">
        <v>6276</v>
      </c>
      <c r="F351" s="5">
        <v>5801</v>
      </c>
      <c r="G351" t="str">
        <f t="shared" si="5"/>
        <v>2020-05-23Екатеринбург</v>
      </c>
    </row>
    <row r="352" spans="1:7" ht="14.25" customHeight="1" x14ac:dyDescent="0.3">
      <c r="A352" s="18">
        <v>43974</v>
      </c>
      <c r="B352" s="5" t="s">
        <v>17</v>
      </c>
      <c r="C352" t="s">
        <v>383</v>
      </c>
      <c r="D352" s="5">
        <v>21</v>
      </c>
      <c r="E352" s="5">
        <v>2460</v>
      </c>
      <c r="F352" s="5">
        <v>2226</v>
      </c>
      <c r="G352" t="str">
        <f t="shared" si="5"/>
        <v>2020-05-23Казань</v>
      </c>
    </row>
    <row r="353" spans="1:7" ht="14.25" customHeight="1" x14ac:dyDescent="0.3">
      <c r="A353" s="18">
        <v>43974</v>
      </c>
      <c r="B353" s="5" t="s">
        <v>10</v>
      </c>
      <c r="C353" t="s">
        <v>384</v>
      </c>
      <c r="D353" s="5">
        <v>21</v>
      </c>
      <c r="E353" s="5">
        <v>2340</v>
      </c>
      <c r="F353" s="5">
        <v>2146</v>
      </c>
      <c r="G353" t="str">
        <f t="shared" si="5"/>
        <v>2020-05-23Кемерово</v>
      </c>
    </row>
    <row r="354" spans="1:7" ht="14.25" customHeight="1" x14ac:dyDescent="0.3">
      <c r="A354" s="18">
        <v>43974</v>
      </c>
      <c r="B354" s="5" t="s">
        <v>20</v>
      </c>
      <c r="C354" t="s">
        <v>385</v>
      </c>
      <c r="D354" s="5">
        <v>19</v>
      </c>
      <c r="E354" s="5">
        <v>2195</v>
      </c>
      <c r="F354" s="5">
        <v>1999</v>
      </c>
      <c r="G354" t="str">
        <f t="shared" si="5"/>
        <v>2020-05-23Краснодар</v>
      </c>
    </row>
    <row r="355" spans="1:7" ht="14.25" customHeight="1" x14ac:dyDescent="0.3">
      <c r="A355" s="18">
        <v>43974</v>
      </c>
      <c r="B355" s="5" t="s">
        <v>22</v>
      </c>
      <c r="C355" t="s">
        <v>386</v>
      </c>
      <c r="D355" s="5">
        <v>54</v>
      </c>
      <c r="E355" s="5">
        <v>16221</v>
      </c>
      <c r="F355" s="5">
        <v>15065</v>
      </c>
      <c r="G355" t="str">
        <f t="shared" si="5"/>
        <v>2020-05-23Москва Восток</v>
      </c>
    </row>
    <row r="356" spans="1:7" ht="14.25" customHeight="1" x14ac:dyDescent="0.3">
      <c r="A356" s="18">
        <v>43974</v>
      </c>
      <c r="B356" s="5" t="s">
        <v>21</v>
      </c>
      <c r="C356" t="s">
        <v>387</v>
      </c>
      <c r="D356" s="5">
        <v>60</v>
      </c>
      <c r="E356" s="5">
        <v>17295</v>
      </c>
      <c r="F356" s="5">
        <v>16010</v>
      </c>
      <c r="G356" t="str">
        <f t="shared" si="5"/>
        <v>2020-05-23Москва Запад</v>
      </c>
    </row>
    <row r="357" spans="1:7" ht="14.25" customHeight="1" x14ac:dyDescent="0.3">
      <c r="A357" s="18">
        <v>43974</v>
      </c>
      <c r="B357" s="5" t="s">
        <v>13</v>
      </c>
      <c r="C357" t="s">
        <v>388</v>
      </c>
      <c r="D357" s="5">
        <v>20</v>
      </c>
      <c r="E357" s="5">
        <v>2266</v>
      </c>
      <c r="F357" s="5">
        <v>1993</v>
      </c>
      <c r="G357" t="str">
        <f t="shared" si="5"/>
        <v>2020-05-23Нижний Новгород</v>
      </c>
    </row>
    <row r="358" spans="1:7" ht="14.25" customHeight="1" x14ac:dyDescent="0.3">
      <c r="A358" s="18">
        <v>43974</v>
      </c>
      <c r="B358" s="5" t="s">
        <v>23</v>
      </c>
      <c r="C358" t="s">
        <v>389</v>
      </c>
      <c r="D358" s="5">
        <v>18</v>
      </c>
      <c r="E358" s="5">
        <v>1031</v>
      </c>
      <c r="F358" s="5">
        <v>918</v>
      </c>
      <c r="G358" t="str">
        <f t="shared" si="5"/>
        <v>2020-05-23Новосибирск</v>
      </c>
    </row>
    <row r="359" spans="1:7" ht="14.25" customHeight="1" x14ac:dyDescent="0.3">
      <c r="A359" s="18">
        <v>43974</v>
      </c>
      <c r="B359" s="5" t="s">
        <v>18</v>
      </c>
      <c r="C359" t="s">
        <v>390</v>
      </c>
      <c r="D359" s="5">
        <v>17</v>
      </c>
      <c r="E359" s="5">
        <v>1294</v>
      </c>
      <c r="F359" s="5">
        <v>1155</v>
      </c>
      <c r="G359" t="str">
        <f t="shared" si="5"/>
        <v>2020-05-23Пермь</v>
      </c>
    </row>
    <row r="360" spans="1:7" ht="14.25" customHeight="1" x14ac:dyDescent="0.3">
      <c r="A360" s="18">
        <v>43974</v>
      </c>
      <c r="B360" s="5" t="s">
        <v>19</v>
      </c>
      <c r="C360" t="s">
        <v>391</v>
      </c>
      <c r="D360" s="5">
        <v>15</v>
      </c>
      <c r="E360" s="5">
        <v>840</v>
      </c>
      <c r="F360" s="5">
        <v>725</v>
      </c>
      <c r="G360" t="str">
        <f t="shared" si="5"/>
        <v>2020-05-23Ростов-на-Дону</v>
      </c>
    </row>
    <row r="361" spans="1:7" ht="14.25" customHeight="1" x14ac:dyDescent="0.3">
      <c r="A361" s="18">
        <v>43974</v>
      </c>
      <c r="B361" s="5" t="s">
        <v>15</v>
      </c>
      <c r="C361" t="s">
        <v>392</v>
      </c>
      <c r="D361" s="5">
        <v>125</v>
      </c>
      <c r="E361" s="5">
        <v>24574</v>
      </c>
      <c r="F361" s="5">
        <v>22609</v>
      </c>
      <c r="G361" t="str">
        <f t="shared" si="5"/>
        <v>2020-05-23Санкт-Петербург Север</v>
      </c>
    </row>
    <row r="362" spans="1:7" ht="14.25" customHeight="1" x14ac:dyDescent="0.3">
      <c r="A362" s="18">
        <v>43974</v>
      </c>
      <c r="B362" s="5" t="s">
        <v>14</v>
      </c>
      <c r="C362" t="s">
        <v>393</v>
      </c>
      <c r="D362" s="5">
        <v>129</v>
      </c>
      <c r="E362" s="5">
        <v>19856</v>
      </c>
      <c r="F362" s="5">
        <v>18325</v>
      </c>
      <c r="G362" t="str">
        <f t="shared" si="5"/>
        <v>2020-05-23Санкт-Петербург Юг</v>
      </c>
    </row>
    <row r="363" spans="1:7" ht="14.25" customHeight="1" x14ac:dyDescent="0.3">
      <c r="A363" s="18">
        <v>43974</v>
      </c>
      <c r="B363" s="5" t="s">
        <v>12</v>
      </c>
      <c r="C363" t="s">
        <v>394</v>
      </c>
      <c r="D363" s="5">
        <v>10</v>
      </c>
      <c r="E363" s="5">
        <v>828</v>
      </c>
      <c r="F363" s="5">
        <v>734</v>
      </c>
      <c r="G363" t="str">
        <f t="shared" si="5"/>
        <v>2020-05-23Тольятти</v>
      </c>
    </row>
    <row r="364" spans="1:7" ht="14.25" customHeight="1" x14ac:dyDescent="0.3">
      <c r="A364" s="18">
        <v>43975</v>
      </c>
      <c r="B364" s="5" t="s">
        <v>16</v>
      </c>
      <c r="C364" t="s">
        <v>395</v>
      </c>
      <c r="D364" s="5">
        <v>36</v>
      </c>
      <c r="E364" s="5">
        <v>4915</v>
      </c>
      <c r="F364" s="5">
        <v>4562</v>
      </c>
      <c r="G364" t="str">
        <f t="shared" si="5"/>
        <v>2020-05-24Волгоград</v>
      </c>
    </row>
    <row r="365" spans="1:7" ht="14.25" customHeight="1" x14ac:dyDescent="0.3">
      <c r="A365" s="18">
        <v>43975</v>
      </c>
      <c r="B365" s="5" t="s">
        <v>11</v>
      </c>
      <c r="C365" t="s">
        <v>396</v>
      </c>
      <c r="D365" s="5">
        <v>31</v>
      </c>
      <c r="E365" s="5">
        <v>5035</v>
      </c>
      <c r="F365" s="5">
        <v>4683</v>
      </c>
      <c r="G365" t="str">
        <f t="shared" si="5"/>
        <v>2020-05-24Екатеринбург</v>
      </c>
    </row>
    <row r="366" spans="1:7" ht="14.25" customHeight="1" x14ac:dyDescent="0.3">
      <c r="A366" s="18">
        <v>43975</v>
      </c>
      <c r="B366" s="5" t="s">
        <v>17</v>
      </c>
      <c r="C366" t="s">
        <v>397</v>
      </c>
      <c r="D366" s="5">
        <v>21</v>
      </c>
      <c r="E366" s="5">
        <v>2254</v>
      </c>
      <c r="F366" s="5">
        <v>2061</v>
      </c>
      <c r="G366" t="str">
        <f t="shared" si="5"/>
        <v>2020-05-24Казань</v>
      </c>
    </row>
    <row r="367" spans="1:7" ht="14.25" customHeight="1" x14ac:dyDescent="0.3">
      <c r="A367" s="18">
        <v>43975</v>
      </c>
      <c r="B367" s="5" t="s">
        <v>10</v>
      </c>
      <c r="C367" t="s">
        <v>398</v>
      </c>
      <c r="D367" s="5">
        <v>20</v>
      </c>
      <c r="E367" s="5">
        <v>1999</v>
      </c>
      <c r="F367" s="5">
        <v>1829</v>
      </c>
      <c r="G367" t="str">
        <f t="shared" si="5"/>
        <v>2020-05-24Кемерово</v>
      </c>
    </row>
    <row r="368" spans="1:7" ht="14.25" customHeight="1" x14ac:dyDescent="0.3">
      <c r="A368" s="18">
        <v>43975</v>
      </c>
      <c r="B368" s="5" t="s">
        <v>20</v>
      </c>
      <c r="C368" t="s">
        <v>399</v>
      </c>
      <c r="D368" s="5">
        <v>19</v>
      </c>
      <c r="E368" s="5">
        <v>1868</v>
      </c>
      <c r="F368" s="5">
        <v>1706</v>
      </c>
      <c r="G368" t="str">
        <f t="shared" si="5"/>
        <v>2020-05-24Краснодар</v>
      </c>
    </row>
    <row r="369" spans="1:7" ht="14.25" customHeight="1" x14ac:dyDescent="0.3">
      <c r="A369" s="18">
        <v>43975</v>
      </c>
      <c r="B369" s="5" t="s">
        <v>22</v>
      </c>
      <c r="C369" t="s">
        <v>400</v>
      </c>
      <c r="D369" s="5">
        <v>54</v>
      </c>
      <c r="E369" s="5">
        <v>12211</v>
      </c>
      <c r="F369" s="5">
        <v>11427</v>
      </c>
      <c r="G369" t="str">
        <f t="shared" si="5"/>
        <v>2020-05-24Москва Восток</v>
      </c>
    </row>
    <row r="370" spans="1:7" ht="14.25" customHeight="1" x14ac:dyDescent="0.3">
      <c r="A370" s="18">
        <v>43975</v>
      </c>
      <c r="B370" s="5" t="s">
        <v>21</v>
      </c>
      <c r="C370" t="s">
        <v>401</v>
      </c>
      <c r="D370" s="5">
        <v>60</v>
      </c>
      <c r="E370" s="5">
        <v>12822</v>
      </c>
      <c r="F370" s="5">
        <v>11916</v>
      </c>
      <c r="G370" t="str">
        <f t="shared" si="5"/>
        <v>2020-05-24Москва Запад</v>
      </c>
    </row>
    <row r="371" spans="1:7" ht="14.25" customHeight="1" x14ac:dyDescent="0.3">
      <c r="A371" s="18">
        <v>43975</v>
      </c>
      <c r="B371" s="5" t="s">
        <v>13</v>
      </c>
      <c r="C371" t="s">
        <v>402</v>
      </c>
      <c r="D371" s="5">
        <v>20</v>
      </c>
      <c r="E371" s="5">
        <v>2015</v>
      </c>
      <c r="F371" s="5">
        <v>1803</v>
      </c>
      <c r="G371" t="str">
        <f t="shared" si="5"/>
        <v>2020-05-24Нижний Новгород</v>
      </c>
    </row>
    <row r="372" spans="1:7" ht="14.25" customHeight="1" x14ac:dyDescent="0.3">
      <c r="A372" s="18">
        <v>43975</v>
      </c>
      <c r="B372" s="5" t="s">
        <v>23</v>
      </c>
      <c r="C372" t="s">
        <v>403</v>
      </c>
      <c r="D372" s="5">
        <v>18</v>
      </c>
      <c r="E372" s="5">
        <v>1006</v>
      </c>
      <c r="F372" s="5">
        <v>904</v>
      </c>
      <c r="G372" t="str">
        <f t="shared" si="5"/>
        <v>2020-05-24Новосибирск</v>
      </c>
    </row>
    <row r="373" spans="1:7" ht="14.25" customHeight="1" x14ac:dyDescent="0.3">
      <c r="A373" s="18">
        <v>43975</v>
      </c>
      <c r="B373" s="5" t="s">
        <v>18</v>
      </c>
      <c r="C373" t="s">
        <v>404</v>
      </c>
      <c r="D373" s="5">
        <v>17</v>
      </c>
      <c r="E373" s="5">
        <v>1128</v>
      </c>
      <c r="F373" s="5">
        <v>1001</v>
      </c>
      <c r="G373" t="str">
        <f t="shared" si="5"/>
        <v>2020-05-24Пермь</v>
      </c>
    </row>
    <row r="374" spans="1:7" ht="14.25" customHeight="1" x14ac:dyDescent="0.3">
      <c r="A374" s="18">
        <v>43975</v>
      </c>
      <c r="B374" s="5" t="s">
        <v>19</v>
      </c>
      <c r="C374" t="s">
        <v>405</v>
      </c>
      <c r="D374" s="5">
        <v>15</v>
      </c>
      <c r="E374" s="5">
        <v>779</v>
      </c>
      <c r="F374" s="5">
        <v>673</v>
      </c>
      <c r="G374" t="str">
        <f t="shared" si="5"/>
        <v>2020-05-24Ростов-на-Дону</v>
      </c>
    </row>
    <row r="375" spans="1:7" ht="14.25" customHeight="1" x14ac:dyDescent="0.3">
      <c r="A375" s="18">
        <v>43975</v>
      </c>
      <c r="B375" s="5" t="s">
        <v>15</v>
      </c>
      <c r="C375" t="s">
        <v>406</v>
      </c>
      <c r="D375" s="5">
        <v>125</v>
      </c>
      <c r="E375" s="5">
        <v>21004</v>
      </c>
      <c r="F375" s="5">
        <v>19556</v>
      </c>
      <c r="G375" t="str">
        <f t="shared" si="5"/>
        <v>2020-05-24Санкт-Петербург Север</v>
      </c>
    </row>
    <row r="376" spans="1:7" ht="14.25" customHeight="1" x14ac:dyDescent="0.3">
      <c r="A376" s="18">
        <v>43975</v>
      </c>
      <c r="B376" s="5" t="s">
        <v>14</v>
      </c>
      <c r="C376" t="s">
        <v>407</v>
      </c>
      <c r="D376" s="5">
        <v>129</v>
      </c>
      <c r="E376" s="5">
        <v>16432</v>
      </c>
      <c r="F376" s="5">
        <v>15345</v>
      </c>
      <c r="G376" t="str">
        <f t="shared" si="5"/>
        <v>2020-05-24Санкт-Петербург Юг</v>
      </c>
    </row>
    <row r="377" spans="1:7" ht="14.25" customHeight="1" x14ac:dyDescent="0.3">
      <c r="A377" s="18">
        <v>43975</v>
      </c>
      <c r="B377" s="5" t="s">
        <v>12</v>
      </c>
      <c r="C377" t="s">
        <v>408</v>
      </c>
      <c r="D377" s="5">
        <v>10</v>
      </c>
      <c r="E377" s="5">
        <v>639</v>
      </c>
      <c r="F377" s="5">
        <v>557</v>
      </c>
      <c r="G377" t="str">
        <f t="shared" si="5"/>
        <v>2020-05-24Тольятти</v>
      </c>
    </row>
    <row r="378" spans="1:7" ht="14.25" customHeight="1" x14ac:dyDescent="0.3">
      <c r="A378" s="18">
        <v>43976</v>
      </c>
      <c r="B378" s="5" t="s">
        <v>16</v>
      </c>
      <c r="C378" t="s">
        <v>409</v>
      </c>
      <c r="D378" s="5">
        <v>36</v>
      </c>
      <c r="E378" s="5">
        <v>4641</v>
      </c>
      <c r="F378" s="5">
        <v>4274</v>
      </c>
      <c r="G378" t="str">
        <f t="shared" si="5"/>
        <v>2020-05-25Волгоград</v>
      </c>
    </row>
    <row r="379" spans="1:7" ht="14.25" customHeight="1" x14ac:dyDescent="0.3">
      <c r="A379" s="18">
        <v>43976</v>
      </c>
      <c r="B379" s="5" t="s">
        <v>11</v>
      </c>
      <c r="C379" t="s">
        <v>410</v>
      </c>
      <c r="D379" s="5">
        <v>31</v>
      </c>
      <c r="E379" s="5">
        <v>5210</v>
      </c>
      <c r="F379" s="5">
        <v>4841</v>
      </c>
      <c r="G379" t="str">
        <f t="shared" si="5"/>
        <v>2020-05-25Екатеринбург</v>
      </c>
    </row>
    <row r="380" spans="1:7" ht="14.25" customHeight="1" x14ac:dyDescent="0.3">
      <c r="A380" s="18">
        <v>43976</v>
      </c>
      <c r="B380" s="5" t="s">
        <v>17</v>
      </c>
      <c r="C380" t="s">
        <v>411</v>
      </c>
      <c r="D380" s="5">
        <v>21</v>
      </c>
      <c r="E380" s="5">
        <v>2330</v>
      </c>
      <c r="F380" s="5">
        <v>2142</v>
      </c>
      <c r="G380" t="str">
        <f t="shared" si="5"/>
        <v>2020-05-25Казань</v>
      </c>
    </row>
    <row r="381" spans="1:7" ht="14.25" customHeight="1" x14ac:dyDescent="0.3">
      <c r="A381" s="18">
        <v>43976</v>
      </c>
      <c r="B381" s="5" t="s">
        <v>10</v>
      </c>
      <c r="C381" t="s">
        <v>412</v>
      </c>
      <c r="D381" s="5">
        <v>20</v>
      </c>
      <c r="E381" s="5">
        <v>2087</v>
      </c>
      <c r="F381" s="5">
        <v>1914</v>
      </c>
      <c r="G381" t="str">
        <f t="shared" si="5"/>
        <v>2020-05-25Кемерово</v>
      </c>
    </row>
    <row r="382" spans="1:7" ht="14.25" customHeight="1" x14ac:dyDescent="0.3">
      <c r="A382" s="18">
        <v>43976</v>
      </c>
      <c r="B382" s="5" t="s">
        <v>20</v>
      </c>
      <c r="C382" t="s">
        <v>413</v>
      </c>
      <c r="D382" s="5">
        <v>20</v>
      </c>
      <c r="E382" s="5">
        <v>1899</v>
      </c>
      <c r="F382" s="5">
        <v>1738</v>
      </c>
      <c r="G382" t="str">
        <f t="shared" si="5"/>
        <v>2020-05-25Краснодар</v>
      </c>
    </row>
    <row r="383" spans="1:7" ht="14.25" customHeight="1" x14ac:dyDescent="0.3">
      <c r="A383" s="18">
        <v>43976</v>
      </c>
      <c r="B383" s="5" t="s">
        <v>22</v>
      </c>
      <c r="C383" t="s">
        <v>414</v>
      </c>
      <c r="D383" s="5">
        <v>54</v>
      </c>
      <c r="E383" s="5">
        <v>12336</v>
      </c>
      <c r="F383" s="5">
        <v>11519</v>
      </c>
      <c r="G383" t="str">
        <f t="shared" si="5"/>
        <v>2020-05-25Москва Восток</v>
      </c>
    </row>
    <row r="384" spans="1:7" ht="14.25" customHeight="1" x14ac:dyDescent="0.3">
      <c r="A384" s="18">
        <v>43976</v>
      </c>
      <c r="B384" s="5" t="s">
        <v>21</v>
      </c>
      <c r="C384" t="s">
        <v>415</v>
      </c>
      <c r="D384" s="5">
        <v>59</v>
      </c>
      <c r="E384" s="5">
        <v>12983</v>
      </c>
      <c r="F384" s="5">
        <v>12056</v>
      </c>
      <c r="G384" t="str">
        <f t="shared" si="5"/>
        <v>2020-05-25Москва Запад</v>
      </c>
    </row>
    <row r="385" spans="1:7" ht="14.25" customHeight="1" x14ac:dyDescent="0.3">
      <c r="A385" s="18">
        <v>43976</v>
      </c>
      <c r="B385" s="5" t="s">
        <v>13</v>
      </c>
      <c r="C385" t="s">
        <v>416</v>
      </c>
      <c r="D385" s="5">
        <v>20</v>
      </c>
      <c r="E385" s="5">
        <v>2011</v>
      </c>
      <c r="F385" s="5">
        <v>1791</v>
      </c>
      <c r="G385" t="str">
        <f t="shared" si="5"/>
        <v>2020-05-25Нижний Новгород</v>
      </c>
    </row>
    <row r="386" spans="1:7" ht="14.25" customHeight="1" x14ac:dyDescent="0.3">
      <c r="A386" s="18">
        <v>43976</v>
      </c>
      <c r="B386" s="5" t="s">
        <v>23</v>
      </c>
      <c r="C386" t="s">
        <v>417</v>
      </c>
      <c r="D386" s="5">
        <v>18</v>
      </c>
      <c r="E386" s="5">
        <v>989</v>
      </c>
      <c r="F386" s="5">
        <v>887</v>
      </c>
      <c r="G386" t="str">
        <f t="shared" si="5"/>
        <v>2020-05-25Новосибирск</v>
      </c>
    </row>
    <row r="387" spans="1:7" ht="14.25" customHeight="1" x14ac:dyDescent="0.3">
      <c r="A387" s="18">
        <v>43976</v>
      </c>
      <c r="B387" s="5" t="s">
        <v>18</v>
      </c>
      <c r="C387" t="s">
        <v>418</v>
      </c>
      <c r="D387" s="5">
        <v>17</v>
      </c>
      <c r="E387" s="5">
        <v>1142</v>
      </c>
      <c r="F387" s="5">
        <v>1020</v>
      </c>
      <c r="G387" t="str">
        <f t="shared" ref="G387:G450" si="6">TEXT(A387,"yyyy-mm-dd") &amp; TRIM(B387)</f>
        <v>2020-05-25Пермь</v>
      </c>
    </row>
    <row r="388" spans="1:7" ht="14.25" customHeight="1" x14ac:dyDescent="0.3">
      <c r="A388" s="18">
        <v>43976</v>
      </c>
      <c r="B388" s="5" t="s">
        <v>19</v>
      </c>
      <c r="C388" t="s">
        <v>419</v>
      </c>
      <c r="D388" s="5">
        <v>15</v>
      </c>
      <c r="E388" s="5">
        <v>835</v>
      </c>
      <c r="F388" s="5">
        <v>736</v>
      </c>
      <c r="G388" t="str">
        <f t="shared" si="6"/>
        <v>2020-05-25Ростов-на-Дону</v>
      </c>
    </row>
    <row r="389" spans="1:7" ht="14.25" customHeight="1" x14ac:dyDescent="0.3">
      <c r="A389" s="18">
        <v>43976</v>
      </c>
      <c r="B389" s="5" t="s">
        <v>15</v>
      </c>
      <c r="C389" t="s">
        <v>420</v>
      </c>
      <c r="D389" s="5">
        <v>124</v>
      </c>
      <c r="E389" s="5">
        <v>20358</v>
      </c>
      <c r="F389" s="5">
        <v>18890</v>
      </c>
      <c r="G389" t="str">
        <f t="shared" si="6"/>
        <v>2020-05-25Санкт-Петербург Север</v>
      </c>
    </row>
    <row r="390" spans="1:7" ht="14.25" customHeight="1" x14ac:dyDescent="0.3">
      <c r="A390" s="18">
        <v>43976</v>
      </c>
      <c r="B390" s="5" t="s">
        <v>14</v>
      </c>
      <c r="C390" t="s">
        <v>421</v>
      </c>
      <c r="D390" s="5">
        <v>129</v>
      </c>
      <c r="E390" s="5">
        <v>15822</v>
      </c>
      <c r="F390" s="5">
        <v>14753</v>
      </c>
      <c r="G390" t="str">
        <f t="shared" si="6"/>
        <v>2020-05-25Санкт-Петербург Юг</v>
      </c>
    </row>
    <row r="391" spans="1:7" ht="14.25" customHeight="1" x14ac:dyDescent="0.3">
      <c r="A391" s="18">
        <v>43976</v>
      </c>
      <c r="B391" s="5" t="s">
        <v>12</v>
      </c>
      <c r="C391" t="s">
        <v>422</v>
      </c>
      <c r="D391" s="5">
        <v>10</v>
      </c>
      <c r="E391" s="5">
        <v>739</v>
      </c>
      <c r="F391" s="5">
        <v>642</v>
      </c>
      <c r="G391" t="str">
        <f t="shared" si="6"/>
        <v>2020-05-25Тольятти</v>
      </c>
    </row>
    <row r="392" spans="1:7" ht="14.25" customHeight="1" x14ac:dyDescent="0.3">
      <c r="A392" s="18">
        <v>43977</v>
      </c>
      <c r="B392" s="5" t="s">
        <v>16</v>
      </c>
      <c r="C392" t="s">
        <v>423</v>
      </c>
      <c r="D392" s="5">
        <v>36</v>
      </c>
      <c r="E392" s="5">
        <v>4770</v>
      </c>
      <c r="F392" s="5">
        <v>4424</v>
      </c>
      <c r="G392" t="str">
        <f t="shared" si="6"/>
        <v>2020-05-26Волгоград</v>
      </c>
    </row>
    <row r="393" spans="1:7" ht="14.25" customHeight="1" x14ac:dyDescent="0.3">
      <c r="A393" s="18">
        <v>43977</v>
      </c>
      <c r="B393" s="5" t="s">
        <v>11</v>
      </c>
      <c r="C393" t="s">
        <v>424</v>
      </c>
      <c r="D393" s="5">
        <v>31</v>
      </c>
      <c r="E393" s="5">
        <v>5493</v>
      </c>
      <c r="F393" s="5">
        <v>5119</v>
      </c>
      <c r="G393" t="str">
        <f t="shared" si="6"/>
        <v>2020-05-26Екатеринбург</v>
      </c>
    </row>
    <row r="394" spans="1:7" ht="14.25" customHeight="1" x14ac:dyDescent="0.3">
      <c r="A394" s="18">
        <v>43977</v>
      </c>
      <c r="B394" s="5" t="s">
        <v>17</v>
      </c>
      <c r="C394" t="s">
        <v>425</v>
      </c>
      <c r="D394" s="5">
        <v>21</v>
      </c>
      <c r="E394" s="5">
        <v>2418</v>
      </c>
      <c r="F394" s="5">
        <v>2215</v>
      </c>
      <c r="G394" t="str">
        <f t="shared" si="6"/>
        <v>2020-05-26Казань</v>
      </c>
    </row>
    <row r="395" spans="1:7" ht="14.25" customHeight="1" x14ac:dyDescent="0.3">
      <c r="A395" s="18">
        <v>43977</v>
      </c>
      <c r="B395" s="5" t="s">
        <v>10</v>
      </c>
      <c r="C395" t="s">
        <v>426</v>
      </c>
      <c r="D395" s="5">
        <v>20</v>
      </c>
      <c r="E395" s="5">
        <v>2044</v>
      </c>
      <c r="F395" s="5">
        <v>1863</v>
      </c>
      <c r="G395" t="str">
        <f t="shared" si="6"/>
        <v>2020-05-26Кемерово</v>
      </c>
    </row>
    <row r="396" spans="1:7" ht="14.25" customHeight="1" x14ac:dyDescent="0.3">
      <c r="A396" s="18">
        <v>43977</v>
      </c>
      <c r="B396" s="5" t="s">
        <v>20</v>
      </c>
      <c r="C396" t="s">
        <v>427</v>
      </c>
      <c r="D396" s="5">
        <v>20</v>
      </c>
      <c r="E396" s="5">
        <v>1814</v>
      </c>
      <c r="F396" s="5">
        <v>1655</v>
      </c>
      <c r="G396" t="str">
        <f t="shared" si="6"/>
        <v>2020-05-26Краснодар</v>
      </c>
    </row>
    <row r="397" spans="1:7" ht="14.25" customHeight="1" x14ac:dyDescent="0.3">
      <c r="A397" s="18">
        <v>43977</v>
      </c>
      <c r="B397" s="5" t="s">
        <v>22</v>
      </c>
      <c r="C397" t="s">
        <v>428</v>
      </c>
      <c r="D397" s="5">
        <v>54</v>
      </c>
      <c r="E397" s="5">
        <v>14482</v>
      </c>
      <c r="F397" s="5">
        <v>13510</v>
      </c>
      <c r="G397" t="str">
        <f t="shared" si="6"/>
        <v>2020-05-26Москва Восток</v>
      </c>
    </row>
    <row r="398" spans="1:7" ht="14.25" customHeight="1" x14ac:dyDescent="0.3">
      <c r="A398" s="18">
        <v>43977</v>
      </c>
      <c r="B398" s="5" t="s">
        <v>21</v>
      </c>
      <c r="C398" t="s">
        <v>429</v>
      </c>
      <c r="D398" s="5">
        <v>59</v>
      </c>
      <c r="E398" s="5">
        <v>15369</v>
      </c>
      <c r="F398" s="5">
        <v>14299</v>
      </c>
      <c r="G398" t="str">
        <f t="shared" si="6"/>
        <v>2020-05-26Москва Запад</v>
      </c>
    </row>
    <row r="399" spans="1:7" ht="14.25" customHeight="1" x14ac:dyDescent="0.3">
      <c r="A399" s="18">
        <v>43977</v>
      </c>
      <c r="B399" s="5" t="s">
        <v>13</v>
      </c>
      <c r="C399" t="s">
        <v>430</v>
      </c>
      <c r="D399" s="5">
        <v>20</v>
      </c>
      <c r="E399" s="5">
        <v>2036</v>
      </c>
      <c r="F399" s="5">
        <v>1790</v>
      </c>
      <c r="G399" t="str">
        <f t="shared" si="6"/>
        <v>2020-05-26Нижний Новгород</v>
      </c>
    </row>
    <row r="400" spans="1:7" ht="14.25" customHeight="1" x14ac:dyDescent="0.3">
      <c r="A400" s="18">
        <v>43977</v>
      </c>
      <c r="B400" s="5" t="s">
        <v>23</v>
      </c>
      <c r="C400" t="s">
        <v>431</v>
      </c>
      <c r="D400" s="5">
        <v>18</v>
      </c>
      <c r="E400" s="5">
        <v>914</v>
      </c>
      <c r="F400" s="5">
        <v>804</v>
      </c>
      <c r="G400" t="str">
        <f t="shared" si="6"/>
        <v>2020-05-26Новосибирск</v>
      </c>
    </row>
    <row r="401" spans="1:7" ht="14.25" customHeight="1" x14ac:dyDescent="0.3">
      <c r="A401" s="18">
        <v>43977</v>
      </c>
      <c r="B401" s="5" t="s">
        <v>18</v>
      </c>
      <c r="C401" t="s">
        <v>432</v>
      </c>
      <c r="D401" s="5">
        <v>17</v>
      </c>
      <c r="E401" s="5">
        <v>1140</v>
      </c>
      <c r="F401" s="5">
        <v>1016</v>
      </c>
      <c r="G401" t="str">
        <f t="shared" si="6"/>
        <v>2020-05-26Пермь</v>
      </c>
    </row>
    <row r="402" spans="1:7" ht="14.25" customHeight="1" x14ac:dyDescent="0.3">
      <c r="A402" s="18">
        <v>43977</v>
      </c>
      <c r="B402" s="5" t="s">
        <v>19</v>
      </c>
      <c r="C402" t="s">
        <v>433</v>
      </c>
      <c r="D402" s="5">
        <v>15</v>
      </c>
      <c r="E402" s="5">
        <v>812</v>
      </c>
      <c r="F402" s="5">
        <v>711</v>
      </c>
      <c r="G402" t="str">
        <f t="shared" si="6"/>
        <v>2020-05-26Ростов-на-Дону</v>
      </c>
    </row>
    <row r="403" spans="1:7" ht="14.25" customHeight="1" x14ac:dyDescent="0.3">
      <c r="A403" s="18">
        <v>43977</v>
      </c>
      <c r="B403" s="5" t="s">
        <v>15</v>
      </c>
      <c r="C403" t="s">
        <v>434</v>
      </c>
      <c r="D403" s="5">
        <v>124</v>
      </c>
      <c r="E403" s="5">
        <v>21153</v>
      </c>
      <c r="F403" s="5">
        <v>19673</v>
      </c>
      <c r="G403" t="str">
        <f t="shared" si="6"/>
        <v>2020-05-26Санкт-Петербург Север</v>
      </c>
    </row>
    <row r="404" spans="1:7" ht="14.25" customHeight="1" x14ac:dyDescent="0.3">
      <c r="A404" s="18">
        <v>43977</v>
      </c>
      <c r="B404" s="5" t="s">
        <v>14</v>
      </c>
      <c r="C404" t="s">
        <v>435</v>
      </c>
      <c r="D404" s="5">
        <v>129</v>
      </c>
      <c r="E404" s="5">
        <v>16459</v>
      </c>
      <c r="F404" s="5">
        <v>15355</v>
      </c>
      <c r="G404" t="str">
        <f t="shared" si="6"/>
        <v>2020-05-26Санкт-Петербург Юг</v>
      </c>
    </row>
    <row r="405" spans="1:7" ht="14.25" customHeight="1" x14ac:dyDescent="0.3">
      <c r="A405" s="18">
        <v>43977</v>
      </c>
      <c r="B405" s="5" t="s">
        <v>12</v>
      </c>
      <c r="C405" t="s">
        <v>436</v>
      </c>
      <c r="D405" s="5">
        <v>10</v>
      </c>
      <c r="E405" s="5">
        <v>692</v>
      </c>
      <c r="F405" s="5">
        <v>601</v>
      </c>
      <c r="G405" t="str">
        <f t="shared" si="6"/>
        <v>2020-05-26Тольятти</v>
      </c>
    </row>
    <row r="406" spans="1:7" ht="14.25" customHeight="1" x14ac:dyDescent="0.3">
      <c r="A406" s="18">
        <v>43977</v>
      </c>
      <c r="B406" s="5" t="s">
        <v>24</v>
      </c>
      <c r="C406" t="s">
        <v>437</v>
      </c>
      <c r="D406" s="5">
        <v>7</v>
      </c>
      <c r="E406" s="5">
        <v>577</v>
      </c>
      <c r="F406" s="5">
        <v>389</v>
      </c>
      <c r="G406" t="str">
        <f t="shared" si="6"/>
        <v>2020-05-26Тюмень</v>
      </c>
    </row>
    <row r="407" spans="1:7" ht="14.25" customHeight="1" x14ac:dyDescent="0.3">
      <c r="A407" s="18">
        <v>43978</v>
      </c>
      <c r="B407" s="5" t="s">
        <v>16</v>
      </c>
      <c r="C407" t="s">
        <v>438</v>
      </c>
      <c r="D407" s="5">
        <v>36</v>
      </c>
      <c r="E407" s="5">
        <v>4951</v>
      </c>
      <c r="F407" s="5">
        <v>4584</v>
      </c>
      <c r="G407" t="str">
        <f t="shared" si="6"/>
        <v>2020-05-27Волгоград</v>
      </c>
    </row>
    <row r="408" spans="1:7" ht="14.25" customHeight="1" x14ac:dyDescent="0.3">
      <c r="A408" s="18">
        <v>43978</v>
      </c>
      <c r="B408" s="5" t="s">
        <v>11</v>
      </c>
      <c r="C408" t="s">
        <v>439</v>
      </c>
      <c r="D408" s="5">
        <v>31</v>
      </c>
      <c r="E408" s="5">
        <v>5330</v>
      </c>
      <c r="F408" s="5">
        <v>4977</v>
      </c>
      <c r="G408" t="str">
        <f t="shared" si="6"/>
        <v>2020-05-27Екатеринбург</v>
      </c>
    </row>
    <row r="409" spans="1:7" ht="14.25" customHeight="1" x14ac:dyDescent="0.3">
      <c r="A409" s="18">
        <v>43978</v>
      </c>
      <c r="B409" s="5" t="s">
        <v>17</v>
      </c>
      <c r="C409" t="s">
        <v>440</v>
      </c>
      <c r="D409" s="5">
        <v>21</v>
      </c>
      <c r="E409" s="5">
        <v>2430</v>
      </c>
      <c r="F409" s="5">
        <v>2216</v>
      </c>
      <c r="G409" t="str">
        <f t="shared" si="6"/>
        <v>2020-05-27Казань</v>
      </c>
    </row>
    <row r="410" spans="1:7" ht="14.25" customHeight="1" x14ac:dyDescent="0.3">
      <c r="A410" s="18">
        <v>43978</v>
      </c>
      <c r="B410" s="5" t="s">
        <v>10</v>
      </c>
      <c r="C410" t="s">
        <v>441</v>
      </c>
      <c r="D410" s="5">
        <v>20</v>
      </c>
      <c r="E410" s="5">
        <v>2079</v>
      </c>
      <c r="F410" s="5">
        <v>1893</v>
      </c>
      <c r="G410" t="str">
        <f t="shared" si="6"/>
        <v>2020-05-27Кемерово</v>
      </c>
    </row>
    <row r="411" spans="1:7" ht="14.25" customHeight="1" x14ac:dyDescent="0.3">
      <c r="A411" s="18">
        <v>43978</v>
      </c>
      <c r="B411" s="5" t="s">
        <v>20</v>
      </c>
      <c r="C411" t="s">
        <v>442</v>
      </c>
      <c r="D411" s="5">
        <v>20</v>
      </c>
      <c r="E411" s="5">
        <v>1873</v>
      </c>
      <c r="F411" s="5">
        <v>1715</v>
      </c>
      <c r="G411" t="str">
        <f t="shared" si="6"/>
        <v>2020-05-27Краснодар</v>
      </c>
    </row>
    <row r="412" spans="1:7" ht="14.25" customHeight="1" x14ac:dyDescent="0.3">
      <c r="A412" s="18">
        <v>43978</v>
      </c>
      <c r="B412" s="5" t="s">
        <v>22</v>
      </c>
      <c r="C412" t="s">
        <v>443</v>
      </c>
      <c r="D412" s="5">
        <v>54</v>
      </c>
      <c r="E412" s="5">
        <v>13091</v>
      </c>
      <c r="F412" s="5">
        <v>12216</v>
      </c>
      <c r="G412" t="str">
        <f t="shared" si="6"/>
        <v>2020-05-27Москва Восток</v>
      </c>
    </row>
    <row r="413" spans="1:7" ht="14.25" customHeight="1" x14ac:dyDescent="0.3">
      <c r="A413" s="18">
        <v>43978</v>
      </c>
      <c r="B413" s="5" t="s">
        <v>21</v>
      </c>
      <c r="C413" t="s">
        <v>444</v>
      </c>
      <c r="D413" s="5">
        <v>59</v>
      </c>
      <c r="E413" s="5">
        <v>13942</v>
      </c>
      <c r="F413" s="5">
        <v>12986</v>
      </c>
      <c r="G413" t="str">
        <f t="shared" si="6"/>
        <v>2020-05-27Москва Запад</v>
      </c>
    </row>
    <row r="414" spans="1:7" ht="14.25" customHeight="1" x14ac:dyDescent="0.3">
      <c r="A414" s="18">
        <v>43978</v>
      </c>
      <c r="B414" s="5" t="s">
        <v>13</v>
      </c>
      <c r="C414" t="s">
        <v>445</v>
      </c>
      <c r="D414" s="5">
        <v>20</v>
      </c>
      <c r="E414" s="5">
        <v>2079</v>
      </c>
      <c r="F414" s="5">
        <v>1856</v>
      </c>
      <c r="G414" t="str">
        <f t="shared" si="6"/>
        <v>2020-05-27Нижний Новгород</v>
      </c>
    </row>
    <row r="415" spans="1:7" ht="14.25" customHeight="1" x14ac:dyDescent="0.3">
      <c r="A415" s="18">
        <v>43978</v>
      </c>
      <c r="B415" s="5" t="s">
        <v>23</v>
      </c>
      <c r="C415" t="s">
        <v>446</v>
      </c>
      <c r="D415" s="5">
        <v>18</v>
      </c>
      <c r="E415" s="5">
        <v>962</v>
      </c>
      <c r="F415" s="5">
        <v>859</v>
      </c>
      <c r="G415" t="str">
        <f t="shared" si="6"/>
        <v>2020-05-27Новосибирск</v>
      </c>
    </row>
    <row r="416" spans="1:7" ht="14.25" customHeight="1" x14ac:dyDescent="0.3">
      <c r="A416" s="18">
        <v>43978</v>
      </c>
      <c r="B416" s="5" t="s">
        <v>18</v>
      </c>
      <c r="C416" t="s">
        <v>447</v>
      </c>
      <c r="D416" s="5">
        <v>17</v>
      </c>
      <c r="E416" s="5">
        <v>1203</v>
      </c>
      <c r="F416" s="5">
        <v>1077</v>
      </c>
      <c r="G416" t="str">
        <f t="shared" si="6"/>
        <v>2020-05-27Пермь</v>
      </c>
    </row>
    <row r="417" spans="1:7" ht="14.25" customHeight="1" x14ac:dyDescent="0.3">
      <c r="A417" s="18">
        <v>43978</v>
      </c>
      <c r="B417" s="5" t="s">
        <v>19</v>
      </c>
      <c r="C417" t="s">
        <v>448</v>
      </c>
      <c r="D417" s="5">
        <v>15</v>
      </c>
      <c r="E417" s="5">
        <v>809</v>
      </c>
      <c r="F417" s="5">
        <v>702</v>
      </c>
      <c r="G417" t="str">
        <f t="shared" si="6"/>
        <v>2020-05-27Ростов-на-Дону</v>
      </c>
    </row>
    <row r="418" spans="1:7" ht="14.25" customHeight="1" x14ac:dyDescent="0.3">
      <c r="A418" s="18">
        <v>43978</v>
      </c>
      <c r="B418" s="5" t="s">
        <v>15</v>
      </c>
      <c r="C418" t="s">
        <v>449</v>
      </c>
      <c r="D418" s="5">
        <v>124</v>
      </c>
      <c r="E418" s="5">
        <v>21384</v>
      </c>
      <c r="F418" s="5">
        <v>19897</v>
      </c>
      <c r="G418" t="str">
        <f t="shared" si="6"/>
        <v>2020-05-27Санкт-Петербург Север</v>
      </c>
    </row>
    <row r="419" spans="1:7" ht="14.25" customHeight="1" x14ac:dyDescent="0.3">
      <c r="A419" s="18">
        <v>43978</v>
      </c>
      <c r="B419" s="5" t="s">
        <v>14</v>
      </c>
      <c r="C419" t="s">
        <v>450</v>
      </c>
      <c r="D419" s="5">
        <v>129</v>
      </c>
      <c r="E419" s="5">
        <v>17115</v>
      </c>
      <c r="F419" s="5">
        <v>15962</v>
      </c>
      <c r="G419" t="str">
        <f t="shared" si="6"/>
        <v>2020-05-27Санкт-Петербург Юг</v>
      </c>
    </row>
    <row r="420" spans="1:7" ht="14.25" customHeight="1" x14ac:dyDescent="0.3">
      <c r="A420" s="18">
        <v>43978</v>
      </c>
      <c r="B420" s="5" t="s">
        <v>12</v>
      </c>
      <c r="C420" t="s">
        <v>451</v>
      </c>
      <c r="D420" s="5">
        <v>10</v>
      </c>
      <c r="E420" s="5">
        <v>757</v>
      </c>
      <c r="F420" s="5">
        <v>660</v>
      </c>
      <c r="G420" t="str">
        <f t="shared" si="6"/>
        <v>2020-05-27Тольятти</v>
      </c>
    </row>
    <row r="421" spans="1:7" ht="14.25" customHeight="1" x14ac:dyDescent="0.3">
      <c r="A421" s="18">
        <v>43978</v>
      </c>
      <c r="B421" s="5" t="s">
        <v>24</v>
      </c>
      <c r="C421" t="s">
        <v>452</v>
      </c>
      <c r="D421" s="5">
        <v>7</v>
      </c>
      <c r="E421" s="5">
        <v>409</v>
      </c>
      <c r="F421" s="5">
        <v>329</v>
      </c>
      <c r="G421" t="str">
        <f t="shared" si="6"/>
        <v>2020-05-27Тюмень</v>
      </c>
    </row>
    <row r="422" spans="1:7" ht="14.25" customHeight="1" x14ac:dyDescent="0.3">
      <c r="A422" s="18">
        <v>43979</v>
      </c>
      <c r="B422" s="5" t="s">
        <v>16</v>
      </c>
      <c r="C422" t="s">
        <v>453</v>
      </c>
      <c r="D422" s="5">
        <v>37</v>
      </c>
      <c r="E422" s="5">
        <v>4840</v>
      </c>
      <c r="F422" s="5">
        <v>4475</v>
      </c>
      <c r="G422" t="str">
        <f t="shared" si="6"/>
        <v>2020-05-28Волгоград</v>
      </c>
    </row>
    <row r="423" spans="1:7" ht="14.25" customHeight="1" x14ac:dyDescent="0.3">
      <c r="A423" s="18">
        <v>43979</v>
      </c>
      <c r="B423" s="5" t="s">
        <v>11</v>
      </c>
      <c r="C423" t="s">
        <v>454</v>
      </c>
      <c r="D423" s="5">
        <v>31</v>
      </c>
      <c r="E423" s="5">
        <v>5355</v>
      </c>
      <c r="F423" s="5">
        <v>4969</v>
      </c>
      <c r="G423" t="str">
        <f t="shared" si="6"/>
        <v>2020-05-28Екатеринбург</v>
      </c>
    </row>
    <row r="424" spans="1:7" ht="14.25" customHeight="1" x14ac:dyDescent="0.3">
      <c r="A424" s="18">
        <v>43979</v>
      </c>
      <c r="B424" s="5" t="s">
        <v>17</v>
      </c>
      <c r="C424" t="s">
        <v>455</v>
      </c>
      <c r="D424" s="5">
        <v>22</v>
      </c>
      <c r="E424" s="5">
        <v>2454</v>
      </c>
      <c r="F424" s="5">
        <v>2239</v>
      </c>
      <c r="G424" t="str">
        <f t="shared" si="6"/>
        <v>2020-05-28Казань</v>
      </c>
    </row>
    <row r="425" spans="1:7" ht="14.25" customHeight="1" x14ac:dyDescent="0.3">
      <c r="A425" s="18">
        <v>43979</v>
      </c>
      <c r="B425" s="5" t="s">
        <v>10</v>
      </c>
      <c r="C425" t="s">
        <v>456</v>
      </c>
      <c r="D425" s="5">
        <v>20</v>
      </c>
      <c r="E425" s="5">
        <v>1886</v>
      </c>
      <c r="F425" s="5">
        <v>1736</v>
      </c>
      <c r="G425" t="str">
        <f t="shared" si="6"/>
        <v>2020-05-28Кемерово</v>
      </c>
    </row>
    <row r="426" spans="1:7" ht="14.25" customHeight="1" x14ac:dyDescent="0.3">
      <c r="A426" s="18">
        <v>43979</v>
      </c>
      <c r="B426" s="5" t="s">
        <v>20</v>
      </c>
      <c r="C426" t="s">
        <v>457</v>
      </c>
      <c r="D426" s="5">
        <v>20</v>
      </c>
      <c r="E426" s="5">
        <v>1875</v>
      </c>
      <c r="F426" s="5">
        <v>1701</v>
      </c>
      <c r="G426" t="str">
        <f t="shared" si="6"/>
        <v>2020-05-28Краснодар</v>
      </c>
    </row>
    <row r="427" spans="1:7" ht="14.25" customHeight="1" x14ac:dyDescent="0.3">
      <c r="A427" s="18">
        <v>43979</v>
      </c>
      <c r="B427" s="5" t="s">
        <v>22</v>
      </c>
      <c r="C427" t="s">
        <v>458</v>
      </c>
      <c r="D427" s="5">
        <v>54</v>
      </c>
      <c r="E427" s="5">
        <v>12409</v>
      </c>
      <c r="F427" s="5">
        <v>11582</v>
      </c>
      <c r="G427" t="str">
        <f t="shared" si="6"/>
        <v>2020-05-28Москва Восток</v>
      </c>
    </row>
    <row r="428" spans="1:7" ht="14.25" customHeight="1" x14ac:dyDescent="0.3">
      <c r="A428" s="18">
        <v>43979</v>
      </c>
      <c r="B428" s="5" t="s">
        <v>21</v>
      </c>
      <c r="C428" t="s">
        <v>459</v>
      </c>
      <c r="D428" s="5">
        <v>60</v>
      </c>
      <c r="E428" s="5">
        <v>12854</v>
      </c>
      <c r="F428" s="5">
        <v>11954</v>
      </c>
      <c r="G428" t="str">
        <f t="shared" si="6"/>
        <v>2020-05-28Москва Запад</v>
      </c>
    </row>
    <row r="429" spans="1:7" ht="14.25" customHeight="1" x14ac:dyDescent="0.3">
      <c r="A429" s="18">
        <v>43979</v>
      </c>
      <c r="B429" s="5" t="s">
        <v>13</v>
      </c>
      <c r="C429" t="s">
        <v>460</v>
      </c>
      <c r="D429" s="5">
        <v>20</v>
      </c>
      <c r="E429" s="5">
        <v>2088</v>
      </c>
      <c r="F429" s="5">
        <v>1848</v>
      </c>
      <c r="G429" t="str">
        <f t="shared" si="6"/>
        <v>2020-05-28Нижний Новгород</v>
      </c>
    </row>
    <row r="430" spans="1:7" ht="14.25" customHeight="1" x14ac:dyDescent="0.3">
      <c r="A430" s="18">
        <v>43979</v>
      </c>
      <c r="B430" s="5" t="s">
        <v>23</v>
      </c>
      <c r="C430" t="s">
        <v>461</v>
      </c>
      <c r="D430" s="5">
        <v>18</v>
      </c>
      <c r="E430" s="5">
        <v>1020</v>
      </c>
      <c r="F430" s="5">
        <v>911</v>
      </c>
      <c r="G430" t="str">
        <f t="shared" si="6"/>
        <v>2020-05-28Новосибирск</v>
      </c>
    </row>
    <row r="431" spans="1:7" ht="14.25" customHeight="1" x14ac:dyDescent="0.3">
      <c r="A431" s="18">
        <v>43979</v>
      </c>
      <c r="B431" s="5" t="s">
        <v>18</v>
      </c>
      <c r="C431" t="s">
        <v>462</v>
      </c>
      <c r="D431" s="5">
        <v>17</v>
      </c>
      <c r="E431" s="5">
        <v>1097</v>
      </c>
      <c r="F431" s="5">
        <v>968</v>
      </c>
      <c r="G431" t="str">
        <f t="shared" si="6"/>
        <v>2020-05-28Пермь</v>
      </c>
    </row>
    <row r="432" spans="1:7" ht="14.25" customHeight="1" x14ac:dyDescent="0.3">
      <c r="A432" s="18">
        <v>43979</v>
      </c>
      <c r="B432" s="5" t="s">
        <v>19</v>
      </c>
      <c r="C432" t="s">
        <v>463</v>
      </c>
      <c r="D432" s="5">
        <v>16</v>
      </c>
      <c r="E432" s="5">
        <v>876</v>
      </c>
      <c r="F432" s="5">
        <v>762</v>
      </c>
      <c r="G432" t="str">
        <f t="shared" si="6"/>
        <v>2020-05-28Ростов-на-Дону</v>
      </c>
    </row>
    <row r="433" spans="1:7" ht="14.25" customHeight="1" x14ac:dyDescent="0.3">
      <c r="A433" s="18">
        <v>43979</v>
      </c>
      <c r="B433" s="5" t="s">
        <v>9</v>
      </c>
      <c r="C433" t="s">
        <v>464</v>
      </c>
      <c r="D433" s="5">
        <v>15</v>
      </c>
      <c r="E433" s="5">
        <v>464</v>
      </c>
      <c r="F433" s="5">
        <v>390</v>
      </c>
      <c r="G433" t="str">
        <f t="shared" si="6"/>
        <v>2020-05-28Самара</v>
      </c>
    </row>
    <row r="434" spans="1:7" ht="14.25" customHeight="1" x14ac:dyDescent="0.3">
      <c r="A434" s="18">
        <v>43979</v>
      </c>
      <c r="B434" s="5" t="s">
        <v>15</v>
      </c>
      <c r="C434" t="s">
        <v>465</v>
      </c>
      <c r="D434" s="5">
        <v>124</v>
      </c>
      <c r="E434" s="5">
        <v>20868</v>
      </c>
      <c r="F434" s="5">
        <v>19342</v>
      </c>
      <c r="G434" t="str">
        <f t="shared" si="6"/>
        <v>2020-05-28Санкт-Петербург Север</v>
      </c>
    </row>
    <row r="435" spans="1:7" ht="14.25" customHeight="1" x14ac:dyDescent="0.3">
      <c r="A435" s="18">
        <v>43979</v>
      </c>
      <c r="B435" s="5" t="s">
        <v>14</v>
      </c>
      <c r="C435" t="s">
        <v>466</v>
      </c>
      <c r="D435" s="5">
        <v>129</v>
      </c>
      <c r="E435" s="5">
        <v>16453</v>
      </c>
      <c r="F435" s="5">
        <v>15289</v>
      </c>
      <c r="G435" t="str">
        <f t="shared" si="6"/>
        <v>2020-05-28Санкт-Петербург Юг</v>
      </c>
    </row>
    <row r="436" spans="1:7" ht="14.25" customHeight="1" x14ac:dyDescent="0.3">
      <c r="A436" s="18">
        <v>43979</v>
      </c>
      <c r="B436" s="5" t="s">
        <v>12</v>
      </c>
      <c r="C436" t="s">
        <v>467</v>
      </c>
      <c r="D436" s="5">
        <v>10</v>
      </c>
      <c r="E436" s="5">
        <v>791</v>
      </c>
      <c r="F436" s="5">
        <v>697</v>
      </c>
      <c r="G436" t="str">
        <f t="shared" si="6"/>
        <v>2020-05-28Тольятти</v>
      </c>
    </row>
    <row r="437" spans="1:7" ht="14.25" customHeight="1" x14ac:dyDescent="0.3">
      <c r="A437" s="18">
        <v>43979</v>
      </c>
      <c r="B437" s="5" t="s">
        <v>24</v>
      </c>
      <c r="C437" t="s">
        <v>468</v>
      </c>
      <c r="D437" s="5">
        <v>7</v>
      </c>
      <c r="E437" s="5">
        <v>420</v>
      </c>
      <c r="F437" s="5">
        <v>347</v>
      </c>
      <c r="G437" t="str">
        <f t="shared" si="6"/>
        <v>2020-05-28Тюмень</v>
      </c>
    </row>
    <row r="438" spans="1:7" ht="14.25" customHeight="1" x14ac:dyDescent="0.3">
      <c r="A438" s="18">
        <v>43980</v>
      </c>
      <c r="B438" s="5" t="s">
        <v>16</v>
      </c>
      <c r="C438" t="s">
        <v>469</v>
      </c>
      <c r="D438" s="5">
        <v>37</v>
      </c>
      <c r="E438" s="5">
        <v>5672</v>
      </c>
      <c r="F438" s="5">
        <v>5198</v>
      </c>
      <c r="G438" t="str">
        <f t="shared" si="6"/>
        <v>2020-05-29Волгоград</v>
      </c>
    </row>
    <row r="439" spans="1:7" ht="14.25" customHeight="1" x14ac:dyDescent="0.3">
      <c r="A439" s="18">
        <v>43980</v>
      </c>
      <c r="B439" s="5" t="s">
        <v>11</v>
      </c>
      <c r="C439" t="s">
        <v>470</v>
      </c>
      <c r="D439" s="5">
        <v>31</v>
      </c>
      <c r="E439" s="5">
        <v>5751</v>
      </c>
      <c r="F439" s="5">
        <v>5319</v>
      </c>
      <c r="G439" t="str">
        <f t="shared" si="6"/>
        <v>2020-05-29Екатеринбург</v>
      </c>
    </row>
    <row r="440" spans="1:7" ht="14.25" customHeight="1" x14ac:dyDescent="0.3">
      <c r="A440" s="18">
        <v>43980</v>
      </c>
      <c r="B440" s="5" t="s">
        <v>17</v>
      </c>
      <c r="C440" t="s">
        <v>471</v>
      </c>
      <c r="D440" s="5">
        <v>22</v>
      </c>
      <c r="E440" s="5">
        <v>2597</v>
      </c>
      <c r="F440" s="5">
        <v>2379</v>
      </c>
      <c r="G440" t="str">
        <f t="shared" si="6"/>
        <v>2020-05-29Казань</v>
      </c>
    </row>
    <row r="441" spans="1:7" ht="14.25" customHeight="1" x14ac:dyDescent="0.3">
      <c r="A441" s="18">
        <v>43980</v>
      </c>
      <c r="B441" s="5" t="s">
        <v>10</v>
      </c>
      <c r="C441" t="s">
        <v>472</v>
      </c>
      <c r="D441" s="5">
        <v>20</v>
      </c>
      <c r="E441" s="5">
        <v>2111</v>
      </c>
      <c r="F441" s="5">
        <v>1917</v>
      </c>
      <c r="G441" t="str">
        <f t="shared" si="6"/>
        <v>2020-05-29Кемерово</v>
      </c>
    </row>
    <row r="442" spans="1:7" ht="14.25" customHeight="1" x14ac:dyDescent="0.3">
      <c r="A442" s="18">
        <v>43980</v>
      </c>
      <c r="B442" s="5" t="s">
        <v>20</v>
      </c>
      <c r="C442" t="s">
        <v>473</v>
      </c>
      <c r="D442" s="5">
        <v>20</v>
      </c>
      <c r="E442" s="5">
        <v>2064</v>
      </c>
      <c r="F442" s="5">
        <v>1896</v>
      </c>
      <c r="G442" t="str">
        <f t="shared" si="6"/>
        <v>2020-05-29Краснодар</v>
      </c>
    </row>
    <row r="443" spans="1:7" ht="14.25" customHeight="1" x14ac:dyDescent="0.3">
      <c r="A443" s="18">
        <v>43980</v>
      </c>
      <c r="B443" s="5" t="s">
        <v>22</v>
      </c>
      <c r="C443" t="s">
        <v>474</v>
      </c>
      <c r="D443" s="5">
        <v>54</v>
      </c>
      <c r="E443" s="5">
        <v>14031</v>
      </c>
      <c r="F443" s="5">
        <v>12943</v>
      </c>
      <c r="G443" t="str">
        <f t="shared" si="6"/>
        <v>2020-05-29Москва Восток</v>
      </c>
    </row>
    <row r="444" spans="1:7" ht="14.25" customHeight="1" x14ac:dyDescent="0.3">
      <c r="A444" s="18">
        <v>43980</v>
      </c>
      <c r="B444" s="5" t="s">
        <v>21</v>
      </c>
      <c r="C444" t="s">
        <v>475</v>
      </c>
      <c r="D444" s="5">
        <v>59</v>
      </c>
      <c r="E444" s="5">
        <v>14507</v>
      </c>
      <c r="F444" s="5">
        <v>13386</v>
      </c>
      <c r="G444" t="str">
        <f t="shared" si="6"/>
        <v>2020-05-29Москва Запад</v>
      </c>
    </row>
    <row r="445" spans="1:7" ht="14.25" customHeight="1" x14ac:dyDescent="0.3">
      <c r="A445" s="18">
        <v>43980</v>
      </c>
      <c r="B445" s="5" t="s">
        <v>13</v>
      </c>
      <c r="C445" t="s">
        <v>476</v>
      </c>
      <c r="D445" s="5">
        <v>20</v>
      </c>
      <c r="E445" s="5">
        <v>2249</v>
      </c>
      <c r="F445" s="5">
        <v>2000</v>
      </c>
      <c r="G445" t="str">
        <f t="shared" si="6"/>
        <v>2020-05-29Нижний Новгород</v>
      </c>
    </row>
    <row r="446" spans="1:7" ht="14.25" customHeight="1" x14ac:dyDescent="0.3">
      <c r="A446" s="18">
        <v>43980</v>
      </c>
      <c r="B446" s="5" t="s">
        <v>23</v>
      </c>
      <c r="C446" t="s">
        <v>477</v>
      </c>
      <c r="D446" s="5">
        <v>18</v>
      </c>
      <c r="E446" s="5">
        <v>1014</v>
      </c>
      <c r="F446" s="5">
        <v>893</v>
      </c>
      <c r="G446" t="str">
        <f t="shared" si="6"/>
        <v>2020-05-29Новосибирск</v>
      </c>
    </row>
    <row r="447" spans="1:7" ht="14.25" customHeight="1" x14ac:dyDescent="0.3">
      <c r="A447" s="18">
        <v>43980</v>
      </c>
      <c r="B447" s="5" t="s">
        <v>18</v>
      </c>
      <c r="C447" t="s">
        <v>478</v>
      </c>
      <c r="D447" s="5">
        <v>17</v>
      </c>
      <c r="E447" s="5">
        <v>1296</v>
      </c>
      <c r="F447" s="5">
        <v>1153</v>
      </c>
      <c r="G447" t="str">
        <f t="shared" si="6"/>
        <v>2020-05-29Пермь</v>
      </c>
    </row>
    <row r="448" spans="1:7" ht="14.25" customHeight="1" x14ac:dyDescent="0.3">
      <c r="A448" s="18">
        <v>43980</v>
      </c>
      <c r="B448" s="5" t="s">
        <v>19</v>
      </c>
      <c r="C448" t="s">
        <v>479</v>
      </c>
      <c r="D448" s="5">
        <v>16</v>
      </c>
      <c r="E448" s="5">
        <v>981</v>
      </c>
      <c r="F448" s="5">
        <v>859</v>
      </c>
      <c r="G448" t="str">
        <f t="shared" si="6"/>
        <v>2020-05-29Ростов-на-Дону</v>
      </c>
    </row>
    <row r="449" spans="1:7" ht="14.25" customHeight="1" x14ac:dyDescent="0.3">
      <c r="A449" s="18">
        <v>43980</v>
      </c>
      <c r="B449" s="5" t="s">
        <v>9</v>
      </c>
      <c r="C449" t="s">
        <v>480</v>
      </c>
      <c r="D449" s="5">
        <v>15</v>
      </c>
      <c r="E449" s="5">
        <v>400</v>
      </c>
      <c r="F449" s="5">
        <v>329</v>
      </c>
      <c r="G449" t="str">
        <f t="shared" si="6"/>
        <v>2020-05-29Самара</v>
      </c>
    </row>
    <row r="450" spans="1:7" ht="14.25" customHeight="1" x14ac:dyDescent="0.3">
      <c r="A450" s="18">
        <v>43980</v>
      </c>
      <c r="B450" s="5" t="s">
        <v>15</v>
      </c>
      <c r="C450" t="s">
        <v>481</v>
      </c>
      <c r="D450" s="5">
        <v>124</v>
      </c>
      <c r="E450" s="5">
        <v>25828</v>
      </c>
      <c r="F450" s="5">
        <v>23974</v>
      </c>
      <c r="G450" t="str">
        <f t="shared" si="6"/>
        <v>2020-05-29Санкт-Петербург Север</v>
      </c>
    </row>
    <row r="451" spans="1:7" ht="14.25" customHeight="1" x14ac:dyDescent="0.3">
      <c r="A451" s="18">
        <v>43980</v>
      </c>
      <c r="B451" s="5" t="s">
        <v>14</v>
      </c>
      <c r="C451" t="s">
        <v>482</v>
      </c>
      <c r="D451" s="5">
        <v>129</v>
      </c>
      <c r="E451" s="5">
        <v>22403</v>
      </c>
      <c r="F451" s="5">
        <v>20676</v>
      </c>
      <c r="G451" t="str">
        <f t="shared" ref="G451:G505" si="7">TEXT(A451,"yyyy-mm-dd") &amp; TRIM(B451)</f>
        <v>2020-05-29Санкт-Петербург Юг</v>
      </c>
    </row>
    <row r="452" spans="1:7" ht="14.25" customHeight="1" x14ac:dyDescent="0.3">
      <c r="A452" s="18">
        <v>43980</v>
      </c>
      <c r="B452" s="5" t="s">
        <v>12</v>
      </c>
      <c r="C452" t="s">
        <v>483</v>
      </c>
      <c r="D452" s="5">
        <v>10</v>
      </c>
      <c r="E452" s="5">
        <v>873</v>
      </c>
      <c r="F452" s="5">
        <v>770</v>
      </c>
      <c r="G452" t="str">
        <f t="shared" si="7"/>
        <v>2020-05-29Тольятти</v>
      </c>
    </row>
    <row r="453" spans="1:7" ht="14.25" customHeight="1" x14ac:dyDescent="0.3">
      <c r="A453" s="18">
        <v>43980</v>
      </c>
      <c r="B453" s="5" t="s">
        <v>24</v>
      </c>
      <c r="C453" t="s">
        <v>484</v>
      </c>
      <c r="D453" s="5">
        <v>7</v>
      </c>
      <c r="E453" s="5">
        <v>491</v>
      </c>
      <c r="F453" s="5">
        <v>411</v>
      </c>
      <c r="G453" t="str">
        <f t="shared" si="7"/>
        <v>2020-05-29Тюмень</v>
      </c>
    </row>
    <row r="454" spans="1:7" ht="14.25" customHeight="1" x14ac:dyDescent="0.3">
      <c r="A454" s="18">
        <v>43981</v>
      </c>
      <c r="B454" s="5" t="s">
        <v>16</v>
      </c>
      <c r="C454" t="s">
        <v>485</v>
      </c>
      <c r="D454" s="5">
        <v>37</v>
      </c>
      <c r="E454" s="5">
        <v>6645</v>
      </c>
      <c r="F454" s="5">
        <v>6122</v>
      </c>
      <c r="G454" t="str">
        <f t="shared" si="7"/>
        <v>2020-05-30Волгоград</v>
      </c>
    </row>
    <row r="455" spans="1:7" ht="14.25" customHeight="1" x14ac:dyDescent="0.3">
      <c r="A455" s="18">
        <v>43981</v>
      </c>
      <c r="B455" s="5" t="s">
        <v>11</v>
      </c>
      <c r="C455" t="s">
        <v>486</v>
      </c>
      <c r="D455" s="5">
        <v>31</v>
      </c>
      <c r="E455" s="5">
        <v>6735</v>
      </c>
      <c r="F455" s="5">
        <v>6264</v>
      </c>
      <c r="G455" t="str">
        <f t="shared" si="7"/>
        <v>2020-05-30Екатеринбург</v>
      </c>
    </row>
    <row r="456" spans="1:7" ht="14.25" customHeight="1" x14ac:dyDescent="0.3">
      <c r="A456" s="18">
        <v>43981</v>
      </c>
      <c r="B456" s="5" t="s">
        <v>17</v>
      </c>
      <c r="C456" t="s">
        <v>487</v>
      </c>
      <c r="D456" s="5">
        <v>22</v>
      </c>
      <c r="E456" s="5">
        <v>2793</v>
      </c>
      <c r="F456" s="5">
        <v>2539</v>
      </c>
      <c r="G456" t="str">
        <f t="shared" si="7"/>
        <v>2020-05-30Казань</v>
      </c>
    </row>
    <row r="457" spans="1:7" ht="14.25" customHeight="1" x14ac:dyDescent="0.3">
      <c r="A457" s="18">
        <v>43981</v>
      </c>
      <c r="B457" s="5" t="s">
        <v>10</v>
      </c>
      <c r="C457" t="s">
        <v>488</v>
      </c>
      <c r="D457" s="5">
        <v>20</v>
      </c>
      <c r="E457" s="5">
        <v>2597</v>
      </c>
      <c r="F457" s="5">
        <v>2376</v>
      </c>
      <c r="G457" t="str">
        <f t="shared" si="7"/>
        <v>2020-05-30Кемерово</v>
      </c>
    </row>
    <row r="458" spans="1:7" ht="14.25" customHeight="1" x14ac:dyDescent="0.3">
      <c r="A458" s="18">
        <v>43981</v>
      </c>
      <c r="B458" s="5" t="s">
        <v>20</v>
      </c>
      <c r="C458" t="s">
        <v>489</v>
      </c>
      <c r="D458" s="5">
        <v>20</v>
      </c>
      <c r="E458" s="5">
        <v>2174</v>
      </c>
      <c r="F458" s="5">
        <v>1957</v>
      </c>
      <c r="G458" t="str">
        <f t="shared" si="7"/>
        <v>2020-05-30Краснодар</v>
      </c>
    </row>
    <row r="459" spans="1:7" ht="14.25" customHeight="1" x14ac:dyDescent="0.3">
      <c r="A459" s="18">
        <v>43981</v>
      </c>
      <c r="B459" s="5" t="s">
        <v>22</v>
      </c>
      <c r="C459" t="s">
        <v>490</v>
      </c>
      <c r="D459" s="5">
        <v>54</v>
      </c>
      <c r="E459" s="5">
        <v>14590</v>
      </c>
      <c r="F459" s="5">
        <v>13551</v>
      </c>
      <c r="G459" t="str">
        <f t="shared" si="7"/>
        <v>2020-05-30Москва Восток</v>
      </c>
    </row>
    <row r="460" spans="1:7" ht="14.25" customHeight="1" x14ac:dyDescent="0.3">
      <c r="A460" s="18">
        <v>43981</v>
      </c>
      <c r="B460" s="5" t="s">
        <v>21</v>
      </c>
      <c r="C460" t="s">
        <v>491</v>
      </c>
      <c r="D460" s="5">
        <v>59</v>
      </c>
      <c r="E460" s="5">
        <v>15030</v>
      </c>
      <c r="F460" s="5">
        <v>13956</v>
      </c>
      <c r="G460" t="str">
        <f t="shared" si="7"/>
        <v>2020-05-30Москва Запад</v>
      </c>
    </row>
    <row r="461" spans="1:7" ht="14.25" customHeight="1" x14ac:dyDescent="0.3">
      <c r="A461" s="18">
        <v>43981</v>
      </c>
      <c r="B461" s="5" t="s">
        <v>13</v>
      </c>
      <c r="C461" t="s">
        <v>492</v>
      </c>
      <c r="D461" s="5">
        <v>20</v>
      </c>
      <c r="E461" s="5">
        <v>2451</v>
      </c>
      <c r="F461" s="5">
        <v>2178</v>
      </c>
      <c r="G461" t="str">
        <f t="shared" si="7"/>
        <v>2020-05-30Нижний Новгород</v>
      </c>
    </row>
    <row r="462" spans="1:7" ht="14.25" customHeight="1" x14ac:dyDescent="0.3">
      <c r="A462" s="18">
        <v>43981</v>
      </c>
      <c r="B462" s="5" t="s">
        <v>23</v>
      </c>
      <c r="C462" t="s">
        <v>493</v>
      </c>
      <c r="D462" s="5">
        <v>18</v>
      </c>
      <c r="E462" s="5">
        <v>1216</v>
      </c>
      <c r="F462" s="5">
        <v>1101</v>
      </c>
      <c r="G462" t="str">
        <f t="shared" si="7"/>
        <v>2020-05-30Новосибирск</v>
      </c>
    </row>
    <row r="463" spans="1:7" ht="14.25" customHeight="1" x14ac:dyDescent="0.3">
      <c r="A463" s="18">
        <v>43981</v>
      </c>
      <c r="B463" s="5" t="s">
        <v>18</v>
      </c>
      <c r="C463" t="s">
        <v>494</v>
      </c>
      <c r="D463" s="5">
        <v>17</v>
      </c>
      <c r="E463" s="5">
        <v>1697</v>
      </c>
      <c r="F463" s="5">
        <v>1499</v>
      </c>
      <c r="G463" t="str">
        <f t="shared" si="7"/>
        <v>2020-05-30Пермь</v>
      </c>
    </row>
    <row r="464" spans="1:7" ht="14.25" customHeight="1" x14ac:dyDescent="0.3">
      <c r="A464" s="18">
        <v>43981</v>
      </c>
      <c r="B464" s="5" t="s">
        <v>19</v>
      </c>
      <c r="C464" t="s">
        <v>495</v>
      </c>
      <c r="D464" s="5">
        <v>16</v>
      </c>
      <c r="E464" s="5">
        <v>1048</v>
      </c>
      <c r="F464" s="5">
        <v>918</v>
      </c>
      <c r="G464" t="str">
        <f t="shared" si="7"/>
        <v>2020-05-30Ростов-на-Дону</v>
      </c>
    </row>
    <row r="465" spans="1:7" ht="14.25" customHeight="1" x14ac:dyDescent="0.3">
      <c r="A465" s="18">
        <v>43981</v>
      </c>
      <c r="B465" s="5" t="s">
        <v>9</v>
      </c>
      <c r="C465" t="s">
        <v>496</v>
      </c>
      <c r="D465" s="5">
        <v>15</v>
      </c>
      <c r="E465" s="5">
        <v>490</v>
      </c>
      <c r="F465" s="5">
        <v>409</v>
      </c>
      <c r="G465" t="str">
        <f t="shared" si="7"/>
        <v>2020-05-30Самара</v>
      </c>
    </row>
    <row r="466" spans="1:7" ht="14.25" customHeight="1" x14ac:dyDescent="0.3">
      <c r="A466" s="18">
        <v>43981</v>
      </c>
      <c r="B466" s="5" t="s">
        <v>15</v>
      </c>
      <c r="C466" t="s">
        <v>497</v>
      </c>
      <c r="D466" s="5">
        <v>124</v>
      </c>
      <c r="E466" s="5">
        <v>24325</v>
      </c>
      <c r="F466" s="5">
        <v>22469</v>
      </c>
      <c r="G466" t="str">
        <f t="shared" si="7"/>
        <v>2020-05-30Санкт-Петербург Север</v>
      </c>
    </row>
    <row r="467" spans="1:7" ht="14.25" customHeight="1" x14ac:dyDescent="0.3">
      <c r="A467" s="18">
        <v>43981</v>
      </c>
      <c r="B467" s="5" t="s">
        <v>14</v>
      </c>
      <c r="C467" t="s">
        <v>498</v>
      </c>
      <c r="D467" s="5">
        <v>129</v>
      </c>
      <c r="E467" s="5">
        <v>20243</v>
      </c>
      <c r="F467" s="5">
        <v>18711</v>
      </c>
      <c r="G467" t="str">
        <f t="shared" si="7"/>
        <v>2020-05-30Санкт-Петербург Юг</v>
      </c>
    </row>
    <row r="468" spans="1:7" ht="14.25" customHeight="1" x14ac:dyDescent="0.3">
      <c r="A468" s="18">
        <v>43981</v>
      </c>
      <c r="B468" s="5" t="s">
        <v>12</v>
      </c>
      <c r="C468" t="s">
        <v>499</v>
      </c>
      <c r="D468" s="5">
        <v>10</v>
      </c>
      <c r="E468" s="5">
        <v>865</v>
      </c>
      <c r="F468" s="5">
        <v>763</v>
      </c>
      <c r="G468" t="str">
        <f t="shared" si="7"/>
        <v>2020-05-30Тольятти</v>
      </c>
    </row>
    <row r="469" spans="1:7" ht="14.25" customHeight="1" x14ac:dyDescent="0.3">
      <c r="A469" s="18">
        <v>43981</v>
      </c>
      <c r="B469" s="5" t="s">
        <v>24</v>
      </c>
      <c r="C469" t="s">
        <v>500</v>
      </c>
      <c r="D469" s="5">
        <v>7</v>
      </c>
      <c r="E469" s="5">
        <v>532</v>
      </c>
      <c r="F469" s="5">
        <v>449</v>
      </c>
      <c r="G469" t="str">
        <f t="shared" si="7"/>
        <v>2020-05-30Тюмень</v>
      </c>
    </row>
    <row r="470" spans="1:7" ht="14.25" customHeight="1" x14ac:dyDescent="0.3">
      <c r="A470" s="18">
        <v>43982</v>
      </c>
      <c r="B470" s="5" t="s">
        <v>16</v>
      </c>
      <c r="C470" t="s">
        <v>501</v>
      </c>
      <c r="D470" s="5">
        <v>37</v>
      </c>
      <c r="E470" s="5">
        <v>5215</v>
      </c>
      <c r="F470" s="5">
        <v>4848</v>
      </c>
      <c r="G470" t="str">
        <f t="shared" si="7"/>
        <v>2020-05-31Волгоград</v>
      </c>
    </row>
    <row r="471" spans="1:7" ht="14.25" customHeight="1" x14ac:dyDescent="0.3">
      <c r="A471" s="18">
        <v>43982</v>
      </c>
      <c r="B471" s="5" t="s">
        <v>11</v>
      </c>
      <c r="C471" t="s">
        <v>502</v>
      </c>
      <c r="D471" s="5">
        <v>31</v>
      </c>
      <c r="E471" s="5">
        <v>5760</v>
      </c>
      <c r="F471" s="5">
        <v>5367</v>
      </c>
      <c r="G471" t="str">
        <f t="shared" si="7"/>
        <v>2020-05-31Екатеринбург</v>
      </c>
    </row>
    <row r="472" spans="1:7" ht="14.25" customHeight="1" x14ac:dyDescent="0.3">
      <c r="A472" s="18">
        <v>43982</v>
      </c>
      <c r="B472" s="5" t="s">
        <v>17</v>
      </c>
      <c r="C472" t="s">
        <v>503</v>
      </c>
      <c r="D472" s="5">
        <v>23</v>
      </c>
      <c r="E472" s="5">
        <v>2522</v>
      </c>
      <c r="F472" s="5">
        <v>2295</v>
      </c>
      <c r="G472" t="str">
        <f t="shared" si="7"/>
        <v>2020-05-31Казань</v>
      </c>
    </row>
    <row r="473" spans="1:7" ht="14.25" customHeight="1" x14ac:dyDescent="0.3">
      <c r="A473" s="18">
        <v>43982</v>
      </c>
      <c r="B473" s="5" t="s">
        <v>10</v>
      </c>
      <c r="C473" t="s">
        <v>504</v>
      </c>
      <c r="D473" s="5">
        <v>21</v>
      </c>
      <c r="E473" s="5">
        <v>2271</v>
      </c>
      <c r="F473" s="5">
        <v>2085</v>
      </c>
      <c r="G473" t="str">
        <f t="shared" si="7"/>
        <v>2020-05-31Кемерово</v>
      </c>
    </row>
    <row r="474" spans="1:7" ht="14.25" customHeight="1" x14ac:dyDescent="0.3">
      <c r="A474" s="18">
        <v>43982</v>
      </c>
      <c r="B474" s="5" t="s">
        <v>20</v>
      </c>
      <c r="C474" t="s">
        <v>505</v>
      </c>
      <c r="D474" s="5">
        <v>21</v>
      </c>
      <c r="E474" s="5">
        <v>2056</v>
      </c>
      <c r="F474" s="5">
        <v>1879</v>
      </c>
      <c r="G474" t="str">
        <f t="shared" si="7"/>
        <v>2020-05-31Краснодар</v>
      </c>
    </row>
    <row r="475" spans="1:7" ht="14.25" customHeight="1" x14ac:dyDescent="0.3">
      <c r="A475" s="18">
        <v>43982</v>
      </c>
      <c r="B475" s="5" t="s">
        <v>22</v>
      </c>
      <c r="C475" t="s">
        <v>506</v>
      </c>
      <c r="D475" s="5">
        <v>54</v>
      </c>
      <c r="E475" s="5">
        <v>13106</v>
      </c>
      <c r="F475" s="5">
        <v>12164</v>
      </c>
      <c r="G475" t="str">
        <f t="shared" si="7"/>
        <v>2020-05-31Москва Восток</v>
      </c>
    </row>
    <row r="476" spans="1:7" ht="14.25" customHeight="1" x14ac:dyDescent="0.3">
      <c r="A476" s="18">
        <v>43982</v>
      </c>
      <c r="B476" s="5" t="s">
        <v>21</v>
      </c>
      <c r="C476" t="s">
        <v>507</v>
      </c>
      <c r="D476" s="5">
        <v>59</v>
      </c>
      <c r="E476" s="5">
        <v>13684</v>
      </c>
      <c r="F476" s="5">
        <v>12690</v>
      </c>
      <c r="G476" t="str">
        <f t="shared" si="7"/>
        <v>2020-05-31Москва Запад</v>
      </c>
    </row>
    <row r="477" spans="1:7" ht="14.25" customHeight="1" x14ac:dyDescent="0.3">
      <c r="A477" s="18">
        <v>43982</v>
      </c>
      <c r="B477" s="5" t="s">
        <v>13</v>
      </c>
      <c r="C477" t="s">
        <v>508</v>
      </c>
      <c r="D477" s="5">
        <v>20</v>
      </c>
      <c r="E477" s="5">
        <v>2060</v>
      </c>
      <c r="F477" s="5">
        <v>1826</v>
      </c>
      <c r="G477" t="str">
        <f t="shared" si="7"/>
        <v>2020-05-31Нижний Новгород</v>
      </c>
    </row>
    <row r="478" spans="1:7" ht="14.25" customHeight="1" x14ac:dyDescent="0.3">
      <c r="A478" s="18">
        <v>43982</v>
      </c>
      <c r="B478" s="5" t="s">
        <v>23</v>
      </c>
      <c r="C478" t="s">
        <v>509</v>
      </c>
      <c r="D478" s="5">
        <v>18</v>
      </c>
      <c r="E478" s="5">
        <v>1029</v>
      </c>
      <c r="F478" s="5">
        <v>925</v>
      </c>
      <c r="G478" t="str">
        <f t="shared" si="7"/>
        <v>2020-05-31Новосибирск</v>
      </c>
    </row>
    <row r="479" spans="1:7" ht="14.25" customHeight="1" x14ac:dyDescent="0.3">
      <c r="A479" s="18">
        <v>43982</v>
      </c>
      <c r="B479" s="5" t="s">
        <v>18</v>
      </c>
      <c r="C479" t="s">
        <v>510</v>
      </c>
      <c r="D479" s="5">
        <v>17</v>
      </c>
      <c r="E479" s="5">
        <v>1186</v>
      </c>
      <c r="F479" s="5">
        <v>1054</v>
      </c>
      <c r="G479" t="str">
        <f t="shared" si="7"/>
        <v>2020-05-31Пермь</v>
      </c>
    </row>
    <row r="480" spans="1:7" ht="14.25" customHeight="1" x14ac:dyDescent="0.3">
      <c r="A480" s="18">
        <v>43982</v>
      </c>
      <c r="B480" s="5" t="s">
        <v>19</v>
      </c>
      <c r="C480" t="s">
        <v>511</v>
      </c>
      <c r="D480" s="5">
        <v>16</v>
      </c>
      <c r="E480" s="5">
        <v>917</v>
      </c>
      <c r="F480" s="5">
        <v>802</v>
      </c>
      <c r="G480" t="str">
        <f t="shared" si="7"/>
        <v>2020-05-31Ростов-на-Дону</v>
      </c>
    </row>
    <row r="481" spans="1:7" ht="14.25" customHeight="1" x14ac:dyDescent="0.3">
      <c r="A481" s="18">
        <v>43982</v>
      </c>
      <c r="B481" s="5" t="s">
        <v>9</v>
      </c>
      <c r="C481" t="s">
        <v>512</v>
      </c>
      <c r="D481" s="5">
        <v>15</v>
      </c>
      <c r="E481" s="5">
        <v>441</v>
      </c>
      <c r="F481" s="5">
        <v>368</v>
      </c>
      <c r="G481" t="str">
        <f t="shared" si="7"/>
        <v>2020-05-31Самара</v>
      </c>
    </row>
    <row r="482" spans="1:7" ht="14.25" customHeight="1" x14ac:dyDescent="0.3">
      <c r="A482" s="18">
        <v>43982</v>
      </c>
      <c r="B482" s="5" t="s">
        <v>15</v>
      </c>
      <c r="C482" t="s">
        <v>513</v>
      </c>
      <c r="D482" s="5">
        <v>124</v>
      </c>
      <c r="E482" s="5">
        <v>21392</v>
      </c>
      <c r="F482" s="5">
        <v>19869</v>
      </c>
      <c r="G482" t="str">
        <f t="shared" si="7"/>
        <v>2020-05-31Санкт-Петербург Север</v>
      </c>
    </row>
    <row r="483" spans="1:7" ht="14.25" customHeight="1" x14ac:dyDescent="0.3">
      <c r="A483" s="18">
        <v>43982</v>
      </c>
      <c r="B483" s="5" t="s">
        <v>14</v>
      </c>
      <c r="C483" t="s">
        <v>514</v>
      </c>
      <c r="D483" s="5">
        <v>129</v>
      </c>
      <c r="E483" s="5">
        <v>17235</v>
      </c>
      <c r="F483" s="5">
        <v>16052</v>
      </c>
      <c r="G483" t="str">
        <f t="shared" si="7"/>
        <v>2020-05-31Санкт-Петербург Юг</v>
      </c>
    </row>
    <row r="484" spans="1:7" ht="14.25" customHeight="1" x14ac:dyDescent="0.3">
      <c r="A484" s="18">
        <v>43982</v>
      </c>
      <c r="B484" s="5" t="s">
        <v>12</v>
      </c>
      <c r="C484" t="s">
        <v>515</v>
      </c>
      <c r="D484" s="5">
        <v>10</v>
      </c>
      <c r="E484" s="5">
        <v>749</v>
      </c>
      <c r="F484" s="5">
        <v>655</v>
      </c>
      <c r="G484" t="str">
        <f t="shared" si="7"/>
        <v>2020-05-31Тольятти</v>
      </c>
    </row>
    <row r="485" spans="1:7" ht="14.25" customHeight="1" x14ac:dyDescent="0.3">
      <c r="A485" s="18">
        <v>43982</v>
      </c>
      <c r="B485" s="5" t="s">
        <v>25</v>
      </c>
      <c r="C485" t="s">
        <v>516</v>
      </c>
      <c r="D485" s="5">
        <v>9</v>
      </c>
      <c r="E485" s="5">
        <v>345</v>
      </c>
      <c r="F485" s="5">
        <v>255</v>
      </c>
      <c r="G485" t="str">
        <f t="shared" si="7"/>
        <v>2020-05-31Томск</v>
      </c>
    </row>
    <row r="486" spans="1:7" ht="14.25" customHeight="1" x14ac:dyDescent="0.3">
      <c r="A486" s="18">
        <v>43982</v>
      </c>
      <c r="B486" s="5" t="s">
        <v>24</v>
      </c>
      <c r="C486" t="s">
        <v>517</v>
      </c>
      <c r="D486" s="5">
        <v>7</v>
      </c>
      <c r="E486" s="5">
        <v>530</v>
      </c>
      <c r="F486" s="5">
        <v>447</v>
      </c>
      <c r="G486" t="str">
        <f t="shared" si="7"/>
        <v>2020-05-31Тюмень</v>
      </c>
    </row>
    <row r="487" spans="1:7" ht="14.25" customHeight="1" x14ac:dyDescent="0.3">
      <c r="A487" s="18">
        <v>43982</v>
      </c>
      <c r="B487" s="5" t="s">
        <v>26</v>
      </c>
      <c r="C487" t="s">
        <v>518</v>
      </c>
      <c r="D487" s="5">
        <v>6</v>
      </c>
      <c r="E487" s="5">
        <v>261</v>
      </c>
      <c r="F487" s="5">
        <v>188</v>
      </c>
      <c r="G487" t="str">
        <f t="shared" si="7"/>
        <v>2020-05-31Уфа</v>
      </c>
    </row>
    <row r="488" spans="1:7" ht="14.25" customHeight="1" x14ac:dyDescent="0.3">
      <c r="A488" s="18">
        <v>43983</v>
      </c>
      <c r="B488" s="5" t="s">
        <v>16</v>
      </c>
      <c r="C488" t="s">
        <v>519</v>
      </c>
      <c r="D488" s="5">
        <v>37</v>
      </c>
      <c r="E488" s="5">
        <v>4722</v>
      </c>
      <c r="F488" s="5">
        <v>4352</v>
      </c>
      <c r="G488" t="str">
        <f t="shared" si="7"/>
        <v>2020-06-01Волгоград</v>
      </c>
    </row>
    <row r="489" spans="1:7" ht="14.25" customHeight="1" x14ac:dyDescent="0.3">
      <c r="A489" s="18">
        <v>43983</v>
      </c>
      <c r="B489" s="5" t="s">
        <v>11</v>
      </c>
      <c r="C489" t="s">
        <v>520</v>
      </c>
      <c r="D489" s="5">
        <v>31</v>
      </c>
      <c r="E489" s="5">
        <v>5468</v>
      </c>
      <c r="F489" s="5">
        <v>5081</v>
      </c>
      <c r="G489" t="str">
        <f t="shared" si="7"/>
        <v>2020-06-01Екатеринбург</v>
      </c>
    </row>
    <row r="490" spans="1:7" ht="14.25" customHeight="1" x14ac:dyDescent="0.3">
      <c r="A490" s="18">
        <v>43983</v>
      </c>
      <c r="B490" s="5" t="s">
        <v>17</v>
      </c>
      <c r="C490" t="s">
        <v>521</v>
      </c>
      <c r="D490" s="5">
        <v>23</v>
      </c>
      <c r="E490" s="5">
        <v>2531</v>
      </c>
      <c r="F490" s="5">
        <v>2296</v>
      </c>
      <c r="G490" t="str">
        <f t="shared" si="7"/>
        <v>2020-06-01Казань</v>
      </c>
    </row>
    <row r="491" spans="1:7" ht="14.25" customHeight="1" x14ac:dyDescent="0.3">
      <c r="A491" s="18">
        <v>43983</v>
      </c>
      <c r="B491" s="5" t="s">
        <v>10</v>
      </c>
      <c r="C491" t="s">
        <v>522</v>
      </c>
      <c r="D491" s="5">
        <v>21</v>
      </c>
      <c r="E491" s="5">
        <v>2025</v>
      </c>
      <c r="F491" s="5">
        <v>1849</v>
      </c>
      <c r="G491" t="str">
        <f t="shared" si="7"/>
        <v>2020-06-01Кемерово</v>
      </c>
    </row>
    <row r="492" spans="1:7" ht="14.25" customHeight="1" x14ac:dyDescent="0.3">
      <c r="A492" s="18">
        <v>43983</v>
      </c>
      <c r="B492" s="5" t="s">
        <v>20</v>
      </c>
      <c r="C492" t="s">
        <v>523</v>
      </c>
      <c r="D492" s="5">
        <v>21</v>
      </c>
      <c r="E492" s="5">
        <v>1879</v>
      </c>
      <c r="F492" s="5">
        <v>1720</v>
      </c>
      <c r="G492" t="str">
        <f t="shared" si="7"/>
        <v>2020-06-01Краснодар</v>
      </c>
    </row>
    <row r="493" spans="1:7" ht="14.25" customHeight="1" x14ac:dyDescent="0.3">
      <c r="A493" s="18">
        <v>43983</v>
      </c>
      <c r="B493" s="5" t="s">
        <v>22</v>
      </c>
      <c r="C493" t="s">
        <v>524</v>
      </c>
      <c r="D493" s="5">
        <v>54</v>
      </c>
      <c r="E493" s="5">
        <v>11864</v>
      </c>
      <c r="F493" s="5">
        <v>11071</v>
      </c>
      <c r="G493" t="str">
        <f t="shared" si="7"/>
        <v>2020-06-01Москва Восток</v>
      </c>
    </row>
    <row r="494" spans="1:7" ht="14.25" customHeight="1" x14ac:dyDescent="0.3">
      <c r="A494" s="18">
        <v>43983</v>
      </c>
      <c r="B494" s="5" t="s">
        <v>21</v>
      </c>
      <c r="C494" t="s">
        <v>525</v>
      </c>
      <c r="D494" s="5">
        <v>59</v>
      </c>
      <c r="E494" s="5">
        <v>12299</v>
      </c>
      <c r="F494" s="5">
        <v>11448</v>
      </c>
      <c r="G494" t="str">
        <f t="shared" si="7"/>
        <v>2020-06-01Москва Запад</v>
      </c>
    </row>
    <row r="495" spans="1:7" ht="14.25" customHeight="1" x14ac:dyDescent="0.3">
      <c r="A495" s="18">
        <v>43983</v>
      </c>
      <c r="B495" s="5" t="s">
        <v>13</v>
      </c>
      <c r="C495" t="s">
        <v>526</v>
      </c>
      <c r="D495" s="5">
        <v>20</v>
      </c>
      <c r="E495" s="5">
        <v>2136</v>
      </c>
      <c r="F495" s="5">
        <v>1899</v>
      </c>
      <c r="G495" t="str">
        <f t="shared" si="7"/>
        <v>2020-06-01Нижний Новгород</v>
      </c>
    </row>
    <row r="496" spans="1:7" ht="14.25" customHeight="1" x14ac:dyDescent="0.3">
      <c r="A496" s="18">
        <v>43983</v>
      </c>
      <c r="B496" s="5" t="s">
        <v>23</v>
      </c>
      <c r="C496" t="s">
        <v>527</v>
      </c>
      <c r="D496" s="5">
        <v>18</v>
      </c>
      <c r="E496" s="5">
        <v>923</v>
      </c>
      <c r="F496" s="5">
        <v>824</v>
      </c>
      <c r="G496" t="str">
        <f t="shared" si="7"/>
        <v>2020-06-01Новосибирск</v>
      </c>
    </row>
    <row r="497" spans="1:7" ht="14.25" customHeight="1" x14ac:dyDescent="0.3">
      <c r="A497" s="18">
        <v>43983</v>
      </c>
      <c r="B497" s="5" t="s">
        <v>18</v>
      </c>
      <c r="C497" t="s">
        <v>528</v>
      </c>
      <c r="D497" s="5">
        <v>17</v>
      </c>
      <c r="E497" s="5">
        <v>1185</v>
      </c>
      <c r="F497" s="5">
        <v>1042</v>
      </c>
      <c r="G497" t="str">
        <f t="shared" si="7"/>
        <v>2020-06-01Пермь</v>
      </c>
    </row>
    <row r="498" spans="1:7" ht="14.25" customHeight="1" x14ac:dyDescent="0.3">
      <c r="A498" s="18">
        <v>43983</v>
      </c>
      <c r="B498" s="5" t="s">
        <v>19</v>
      </c>
      <c r="C498" t="s">
        <v>529</v>
      </c>
      <c r="D498" s="5">
        <v>16</v>
      </c>
      <c r="E498" s="5">
        <v>1019</v>
      </c>
      <c r="F498" s="5">
        <v>895</v>
      </c>
      <c r="G498" t="str">
        <f t="shared" si="7"/>
        <v>2020-06-01Ростов-на-Дону</v>
      </c>
    </row>
    <row r="499" spans="1:7" ht="14.25" customHeight="1" x14ac:dyDescent="0.3">
      <c r="A499" s="18">
        <v>43983</v>
      </c>
      <c r="B499" s="5" t="s">
        <v>9</v>
      </c>
      <c r="C499" t="s">
        <v>530</v>
      </c>
      <c r="D499" s="5">
        <v>15</v>
      </c>
      <c r="E499" s="5">
        <v>453</v>
      </c>
      <c r="F499" s="5">
        <v>370</v>
      </c>
      <c r="G499" t="str">
        <f t="shared" si="7"/>
        <v>2020-06-01Самара</v>
      </c>
    </row>
    <row r="500" spans="1:7" ht="14.25" customHeight="1" x14ac:dyDescent="0.3">
      <c r="A500" s="18">
        <v>43983</v>
      </c>
      <c r="B500" s="5" t="s">
        <v>15</v>
      </c>
      <c r="C500" t="s">
        <v>531</v>
      </c>
      <c r="D500" s="5">
        <v>123</v>
      </c>
      <c r="E500" s="5">
        <v>20325</v>
      </c>
      <c r="F500" s="5">
        <v>18935</v>
      </c>
      <c r="G500" t="str">
        <f t="shared" si="7"/>
        <v>2020-06-01Санкт-Петербург Север</v>
      </c>
    </row>
    <row r="501" spans="1:7" ht="14.25" customHeight="1" x14ac:dyDescent="0.3">
      <c r="A501" s="18">
        <v>43983</v>
      </c>
      <c r="B501" s="5" t="s">
        <v>14</v>
      </c>
      <c r="C501" t="s">
        <v>532</v>
      </c>
      <c r="D501" s="5">
        <v>128</v>
      </c>
      <c r="E501" s="5">
        <v>16285</v>
      </c>
      <c r="F501" s="5">
        <v>15130</v>
      </c>
      <c r="G501" t="str">
        <f t="shared" si="7"/>
        <v>2020-06-01Санкт-Петербург Юг</v>
      </c>
    </row>
    <row r="502" spans="1:7" ht="14.25" customHeight="1" x14ac:dyDescent="0.3">
      <c r="A502" s="18">
        <v>43983</v>
      </c>
      <c r="B502" s="5" t="s">
        <v>12</v>
      </c>
      <c r="C502" t="s">
        <v>533</v>
      </c>
      <c r="D502" s="5">
        <v>10</v>
      </c>
      <c r="E502" s="5">
        <v>719</v>
      </c>
      <c r="F502" s="5">
        <v>627</v>
      </c>
      <c r="G502" t="str">
        <f t="shared" si="7"/>
        <v>2020-06-01Тольятти</v>
      </c>
    </row>
    <row r="503" spans="1:7" ht="14.25" customHeight="1" x14ac:dyDescent="0.3">
      <c r="A503" s="18">
        <v>43983</v>
      </c>
      <c r="B503" s="5" t="s">
        <v>25</v>
      </c>
      <c r="C503" t="s">
        <v>534</v>
      </c>
      <c r="D503" s="5">
        <v>9</v>
      </c>
      <c r="E503" s="5">
        <v>294</v>
      </c>
      <c r="F503" s="5">
        <v>224</v>
      </c>
      <c r="G503" t="str">
        <f t="shared" si="7"/>
        <v>2020-06-01Томск</v>
      </c>
    </row>
    <row r="504" spans="1:7" ht="14.25" customHeight="1" x14ac:dyDescent="0.3">
      <c r="A504" s="18">
        <v>43983</v>
      </c>
      <c r="B504" s="5" t="s">
        <v>24</v>
      </c>
      <c r="C504" t="s">
        <v>535</v>
      </c>
      <c r="D504" s="5">
        <v>7</v>
      </c>
      <c r="E504" s="5">
        <v>500</v>
      </c>
      <c r="F504" s="5">
        <v>418</v>
      </c>
      <c r="G504" t="str">
        <f t="shared" si="7"/>
        <v>2020-06-01Тюмень</v>
      </c>
    </row>
    <row r="505" spans="1:7" ht="14.25" customHeight="1" x14ac:dyDescent="0.3">
      <c r="A505" s="18">
        <v>43983</v>
      </c>
      <c r="B505" s="5" t="s">
        <v>26</v>
      </c>
      <c r="C505" t="s">
        <v>536</v>
      </c>
      <c r="D505" s="5">
        <v>6</v>
      </c>
      <c r="E505" s="5">
        <v>237</v>
      </c>
      <c r="F505" s="5">
        <v>175</v>
      </c>
      <c r="G505" t="str">
        <f t="shared" si="7"/>
        <v>2020-06-01Уфа</v>
      </c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44AC-58F5-4895-A51D-A580B37FFC6A}">
  <dimension ref="A3:C44"/>
  <sheetViews>
    <sheetView topLeftCell="A2" zoomScale="57" workbookViewId="0">
      <selection activeCell="L47" sqref="L47"/>
    </sheetView>
  </sheetViews>
  <sheetFormatPr defaultRowHeight="14.4" x14ac:dyDescent="0.3"/>
  <cols>
    <col min="1" max="1" width="38" bestFit="1" customWidth="1"/>
    <col min="2" max="2" width="22.77734375" bestFit="1" customWidth="1"/>
    <col min="3" max="3" width="17.77734375" bestFit="1" customWidth="1"/>
    <col min="4" max="4" width="15.109375" bestFit="1" customWidth="1"/>
    <col min="5" max="5" width="20.21875" bestFit="1" customWidth="1"/>
    <col min="6" max="8" width="14.88671875" bestFit="1" customWidth="1"/>
    <col min="9" max="9" width="17" bestFit="1" customWidth="1"/>
    <col min="10" max="10" width="14.88671875" bestFit="1" customWidth="1"/>
    <col min="11" max="11" width="17.5546875" bestFit="1" customWidth="1"/>
    <col min="12" max="12" width="16.33203125" bestFit="1" customWidth="1"/>
    <col min="13" max="13" width="21.6640625" bestFit="1" customWidth="1"/>
    <col min="14" max="14" width="15.5546875" bestFit="1" customWidth="1"/>
    <col min="15" max="15" width="20.88671875" bestFit="1" customWidth="1"/>
    <col min="16" max="16" width="19.44140625" bestFit="1" customWidth="1"/>
    <col min="17" max="17" width="24.77734375" bestFit="1" customWidth="1"/>
    <col min="18" max="18" width="14.6640625" bestFit="1" customWidth="1"/>
    <col min="19" max="19" width="19.6640625" bestFit="1" customWidth="1"/>
    <col min="20" max="20" width="12.44140625" bestFit="1" customWidth="1"/>
    <col min="21" max="21" width="13.6640625" bestFit="1" customWidth="1"/>
    <col min="22" max="22" width="17.77734375" bestFit="1" customWidth="1"/>
    <col min="23" max="23" width="23.109375" bestFit="1" customWidth="1"/>
    <col min="24" max="24" width="9.6640625" bestFit="1" customWidth="1"/>
    <col min="25" max="25" width="14.5546875" bestFit="1" customWidth="1"/>
    <col min="26" max="26" width="24.21875" bestFit="1" customWidth="1"/>
    <col min="27" max="27" width="29.5546875" bestFit="1" customWidth="1"/>
    <col min="28" max="28" width="21.44140625" bestFit="1" customWidth="1"/>
    <col min="29" max="29" width="27.109375" bestFit="1" customWidth="1"/>
    <col min="30" max="30" width="11.21875" bestFit="1" customWidth="1"/>
    <col min="31" max="31" width="16" bestFit="1" customWidth="1"/>
    <col min="32" max="34" width="14.88671875" bestFit="1" customWidth="1"/>
    <col min="35" max="35" width="15.109375" bestFit="1" customWidth="1"/>
    <col min="36" max="36" width="8.77734375" bestFit="1" customWidth="1"/>
    <col min="37" max="37" width="11.44140625" bestFit="1" customWidth="1"/>
    <col min="38" max="38" width="15.109375" bestFit="1" customWidth="1"/>
    <col min="39" max="39" width="38" bestFit="1" customWidth="1"/>
  </cols>
  <sheetData>
    <row r="3" spans="1:3" x14ac:dyDescent="0.3">
      <c r="B3" s="9" t="s">
        <v>29</v>
      </c>
    </row>
    <row r="4" spans="1:3" x14ac:dyDescent="0.3">
      <c r="A4" s="9" t="s">
        <v>27</v>
      </c>
      <c r="B4">
        <v>23</v>
      </c>
      <c r="C4" t="s">
        <v>28</v>
      </c>
    </row>
    <row r="5" spans="1:3" x14ac:dyDescent="0.3">
      <c r="A5" s="10" t="s">
        <v>30</v>
      </c>
    </row>
    <row r="6" spans="1:3" x14ac:dyDescent="0.3">
      <c r="A6" s="11" t="s">
        <v>16</v>
      </c>
      <c r="B6">
        <v>5800290</v>
      </c>
      <c r="C6">
        <v>5800290</v>
      </c>
    </row>
    <row r="7" spans="1:3" x14ac:dyDescent="0.3">
      <c r="A7" s="11" t="s">
        <v>11</v>
      </c>
      <c r="B7">
        <v>6829921.5</v>
      </c>
      <c r="C7">
        <v>6829921.5</v>
      </c>
    </row>
    <row r="8" spans="1:3" x14ac:dyDescent="0.3">
      <c r="A8" s="11" t="s">
        <v>17</v>
      </c>
      <c r="B8">
        <v>3865251</v>
      </c>
      <c r="C8">
        <v>3865251</v>
      </c>
    </row>
    <row r="9" spans="1:3" x14ac:dyDescent="0.3">
      <c r="A9" s="11" t="s">
        <v>10</v>
      </c>
      <c r="B9">
        <v>2945035.5</v>
      </c>
      <c r="C9">
        <v>2945035.5</v>
      </c>
    </row>
    <row r="10" spans="1:3" x14ac:dyDescent="0.3">
      <c r="A10" s="11" t="s">
        <v>20</v>
      </c>
      <c r="B10">
        <v>2538967.5</v>
      </c>
      <c r="C10">
        <v>2538967.5</v>
      </c>
    </row>
    <row r="11" spans="1:3" x14ac:dyDescent="0.3">
      <c r="A11" s="11" t="s">
        <v>22</v>
      </c>
      <c r="B11">
        <v>18914194.5</v>
      </c>
      <c r="C11">
        <v>18914194.5</v>
      </c>
    </row>
    <row r="12" spans="1:3" x14ac:dyDescent="0.3">
      <c r="A12" s="11" t="s">
        <v>21</v>
      </c>
      <c r="B12">
        <v>19465372.5</v>
      </c>
      <c r="C12">
        <v>19465372.5</v>
      </c>
    </row>
    <row r="13" spans="1:3" x14ac:dyDescent="0.3">
      <c r="A13" s="11" t="s">
        <v>13</v>
      </c>
      <c r="B13">
        <v>3013512</v>
      </c>
      <c r="C13">
        <v>3013512</v>
      </c>
    </row>
    <row r="14" spans="1:3" x14ac:dyDescent="0.3">
      <c r="A14" s="11" t="s">
        <v>23</v>
      </c>
      <c r="B14">
        <v>1293219</v>
      </c>
      <c r="C14">
        <v>1293219</v>
      </c>
    </row>
    <row r="15" spans="1:3" x14ac:dyDescent="0.3">
      <c r="A15" s="11" t="s">
        <v>18</v>
      </c>
      <c r="B15">
        <v>1526608.5</v>
      </c>
      <c r="C15">
        <v>1526608.5</v>
      </c>
    </row>
    <row r="16" spans="1:3" x14ac:dyDescent="0.3">
      <c r="A16" s="11" t="s">
        <v>19</v>
      </c>
      <c r="B16">
        <v>1565632.5</v>
      </c>
      <c r="C16">
        <v>1565632.5</v>
      </c>
    </row>
    <row r="17" spans="1:3" x14ac:dyDescent="0.3">
      <c r="A17" s="11" t="s">
        <v>9</v>
      </c>
      <c r="B17">
        <v>636345</v>
      </c>
      <c r="C17">
        <v>636345</v>
      </c>
    </row>
    <row r="18" spans="1:3" x14ac:dyDescent="0.3">
      <c r="A18" s="11" t="s">
        <v>15</v>
      </c>
      <c r="B18">
        <v>37257840.18135</v>
      </c>
      <c r="C18">
        <v>37257840.18135</v>
      </c>
    </row>
    <row r="19" spans="1:3" x14ac:dyDescent="0.3">
      <c r="A19" s="11" t="s">
        <v>14</v>
      </c>
      <c r="B19">
        <v>27770092.5</v>
      </c>
      <c r="C19">
        <v>27770092.5</v>
      </c>
    </row>
    <row r="20" spans="1:3" x14ac:dyDescent="0.3">
      <c r="A20" s="11" t="s">
        <v>12</v>
      </c>
      <c r="B20">
        <v>1007742</v>
      </c>
      <c r="C20">
        <v>1007742</v>
      </c>
    </row>
    <row r="21" spans="1:3" x14ac:dyDescent="0.3">
      <c r="A21" s="11" t="s">
        <v>25</v>
      </c>
      <c r="B21">
        <v>389013</v>
      </c>
      <c r="C21">
        <v>389013</v>
      </c>
    </row>
    <row r="22" spans="1:3" x14ac:dyDescent="0.3">
      <c r="A22" s="11" t="s">
        <v>24</v>
      </c>
      <c r="B22">
        <v>802447.5</v>
      </c>
      <c r="C22">
        <v>802447.5</v>
      </c>
    </row>
    <row r="23" spans="1:3" x14ac:dyDescent="0.3">
      <c r="A23" s="11" t="s">
        <v>26</v>
      </c>
      <c r="B23">
        <v>410892</v>
      </c>
      <c r="C23">
        <v>410892</v>
      </c>
    </row>
    <row r="24" spans="1:3" x14ac:dyDescent="0.3">
      <c r="A24" s="10" t="s">
        <v>538</v>
      </c>
    </row>
    <row r="25" spans="1:3" x14ac:dyDescent="0.3">
      <c r="A25" s="11" t="s">
        <v>16</v>
      </c>
      <c r="B25">
        <v>156764.59459459459</v>
      </c>
      <c r="C25">
        <v>156764.59459459459</v>
      </c>
    </row>
    <row r="26" spans="1:3" x14ac:dyDescent="0.3">
      <c r="A26" s="11" t="s">
        <v>11</v>
      </c>
      <c r="B26">
        <v>220320.04838709679</v>
      </c>
      <c r="C26">
        <v>220320.04838709679</v>
      </c>
    </row>
    <row r="27" spans="1:3" x14ac:dyDescent="0.3">
      <c r="A27" s="11" t="s">
        <v>17</v>
      </c>
      <c r="B27">
        <v>168054.39130434784</v>
      </c>
      <c r="C27">
        <v>168054.39130434784</v>
      </c>
    </row>
    <row r="28" spans="1:3" x14ac:dyDescent="0.3">
      <c r="A28" s="11" t="s">
        <v>10</v>
      </c>
      <c r="B28">
        <v>140239.78571428571</v>
      </c>
      <c r="C28">
        <v>140239.78571428571</v>
      </c>
    </row>
    <row r="29" spans="1:3" x14ac:dyDescent="0.3">
      <c r="A29" s="11" t="s">
        <v>20</v>
      </c>
      <c r="B29">
        <v>120903.21428571429</v>
      </c>
      <c r="C29">
        <v>120903.21428571429</v>
      </c>
    </row>
    <row r="30" spans="1:3" x14ac:dyDescent="0.3">
      <c r="A30" s="11" t="s">
        <v>22</v>
      </c>
      <c r="B30">
        <v>350262.86111111112</v>
      </c>
      <c r="C30">
        <v>350262.86111111112</v>
      </c>
    </row>
    <row r="31" spans="1:3" x14ac:dyDescent="0.3">
      <c r="A31" s="11" t="s">
        <v>21</v>
      </c>
      <c r="B31">
        <v>329921.56779661018</v>
      </c>
      <c r="C31">
        <v>329921.56779661018</v>
      </c>
    </row>
    <row r="32" spans="1:3" x14ac:dyDescent="0.3">
      <c r="A32" s="11" t="s">
        <v>13</v>
      </c>
      <c r="B32">
        <v>150675.6</v>
      </c>
      <c r="C32">
        <v>150675.6</v>
      </c>
    </row>
    <row r="33" spans="1:3" x14ac:dyDescent="0.3">
      <c r="A33" s="11" t="s">
        <v>23</v>
      </c>
      <c r="B33">
        <v>0</v>
      </c>
      <c r="C33">
        <v>0</v>
      </c>
    </row>
    <row r="34" spans="1:3" x14ac:dyDescent="0.3">
      <c r="A34" s="11" t="s">
        <v>18</v>
      </c>
      <c r="B34">
        <v>89800.5</v>
      </c>
      <c r="C34">
        <v>89800.5</v>
      </c>
    </row>
    <row r="35" spans="1:3" x14ac:dyDescent="0.3">
      <c r="A35" s="11" t="s">
        <v>19</v>
      </c>
      <c r="B35">
        <v>97852.03125</v>
      </c>
      <c r="C35">
        <v>97852.03125</v>
      </c>
    </row>
    <row r="36" spans="1:3" x14ac:dyDescent="0.3">
      <c r="A36" s="11" t="s">
        <v>9</v>
      </c>
      <c r="B36">
        <v>42423</v>
      </c>
      <c r="C36">
        <v>42423</v>
      </c>
    </row>
    <row r="37" spans="1:3" x14ac:dyDescent="0.3">
      <c r="A37" s="11" t="s">
        <v>15</v>
      </c>
      <c r="B37">
        <v>302909.26976707316</v>
      </c>
      <c r="C37">
        <v>302909.26976707316</v>
      </c>
    </row>
    <row r="38" spans="1:3" x14ac:dyDescent="0.3">
      <c r="A38" s="11" t="s">
        <v>14</v>
      </c>
      <c r="B38">
        <v>216953.84765625</v>
      </c>
      <c r="C38">
        <v>216953.84765625</v>
      </c>
    </row>
    <row r="39" spans="1:3" x14ac:dyDescent="0.3">
      <c r="A39" s="11" t="s">
        <v>12</v>
      </c>
      <c r="B39">
        <v>100774.2</v>
      </c>
      <c r="C39">
        <v>100774.2</v>
      </c>
    </row>
    <row r="40" spans="1:3" x14ac:dyDescent="0.3">
      <c r="A40" s="11" t="s">
        <v>25</v>
      </c>
      <c r="B40">
        <v>43223.666666666664</v>
      </c>
      <c r="C40">
        <v>43223.666666666664</v>
      </c>
    </row>
    <row r="41" spans="1:3" x14ac:dyDescent="0.3">
      <c r="A41" s="11" t="s">
        <v>24</v>
      </c>
      <c r="B41">
        <v>114635.35714285714</v>
      </c>
      <c r="C41">
        <v>114635.35714285714</v>
      </c>
    </row>
    <row r="42" spans="1:3" x14ac:dyDescent="0.3">
      <c r="A42" s="11" t="s">
        <v>26</v>
      </c>
      <c r="B42">
        <v>68482</v>
      </c>
      <c r="C42">
        <v>68482</v>
      </c>
    </row>
    <row r="43" spans="1:3" x14ac:dyDescent="0.3">
      <c r="A43" s="10" t="s">
        <v>31</v>
      </c>
      <c r="B43">
        <v>136032376.68134999</v>
      </c>
      <c r="C43">
        <v>136032376.68134999</v>
      </c>
    </row>
    <row r="44" spans="1:3" x14ac:dyDescent="0.3">
      <c r="A44" s="10" t="s">
        <v>537</v>
      </c>
      <c r="B44">
        <v>2714195.9356766078</v>
      </c>
      <c r="C44">
        <v>2714195.9356766078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54FE-A402-423D-98CC-E261F28B0F37}">
  <dimension ref="A3:C10"/>
  <sheetViews>
    <sheetView workbookViewId="0">
      <selection activeCell="C18" sqref="C18"/>
    </sheetView>
  </sheetViews>
  <sheetFormatPr defaultRowHeight="14.4" x14ac:dyDescent="0.3"/>
  <cols>
    <col min="1" max="1" width="12.5546875" bestFit="1" customWidth="1"/>
    <col min="2" max="2" width="24.6640625" bestFit="1" customWidth="1"/>
    <col min="3" max="3" width="30" bestFit="1" customWidth="1"/>
  </cols>
  <sheetData>
    <row r="3" spans="1:3" x14ac:dyDescent="0.3">
      <c r="A3" s="9" t="s">
        <v>27</v>
      </c>
      <c r="B3" t="s">
        <v>30</v>
      </c>
      <c r="C3" t="s">
        <v>32</v>
      </c>
    </row>
    <row r="4" spans="1:3" x14ac:dyDescent="0.3">
      <c r="A4" s="10">
        <v>18</v>
      </c>
      <c r="B4">
        <v>836803032</v>
      </c>
      <c r="C4">
        <v>82</v>
      </c>
    </row>
    <row r="5" spans="1:3" x14ac:dyDescent="0.3">
      <c r="A5" s="10">
        <v>19</v>
      </c>
      <c r="B5">
        <v>983915409.85664999</v>
      </c>
      <c r="C5">
        <v>98</v>
      </c>
    </row>
    <row r="6" spans="1:3" x14ac:dyDescent="0.3">
      <c r="A6" s="10">
        <v>20</v>
      </c>
      <c r="B6">
        <v>947263006.72395003</v>
      </c>
      <c r="C6">
        <v>98</v>
      </c>
    </row>
    <row r="7" spans="1:3" x14ac:dyDescent="0.3">
      <c r="A7" s="10">
        <v>21</v>
      </c>
      <c r="B7">
        <v>1002691883.0466</v>
      </c>
      <c r="C7">
        <v>98</v>
      </c>
    </row>
    <row r="8" spans="1:3" x14ac:dyDescent="0.3">
      <c r="A8" s="10">
        <v>22</v>
      </c>
      <c r="B8">
        <v>1055653508.75385</v>
      </c>
      <c r="C8">
        <v>110</v>
      </c>
    </row>
    <row r="9" spans="1:3" x14ac:dyDescent="0.3">
      <c r="A9" s="10">
        <v>23</v>
      </c>
      <c r="B9">
        <v>136032376.68134999</v>
      </c>
      <c r="C9">
        <v>18</v>
      </c>
    </row>
    <row r="10" spans="1:3" x14ac:dyDescent="0.3">
      <c r="A10" s="10" t="s">
        <v>28</v>
      </c>
      <c r="B10">
        <v>4962359217.0623989</v>
      </c>
      <c r="C10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8AC0-EC08-42D3-B359-194FD519FDC0}">
  <dimension ref="A3:C23"/>
  <sheetViews>
    <sheetView zoomScale="64" workbookViewId="0">
      <selection activeCell="C3" sqref="C3"/>
    </sheetView>
  </sheetViews>
  <sheetFormatPr defaultRowHeight="14.4" x14ac:dyDescent="0.3"/>
  <cols>
    <col min="1" max="1" width="25.109375" bestFit="1" customWidth="1"/>
    <col min="2" max="2" width="24.6640625" bestFit="1" customWidth="1"/>
    <col min="3" max="3" width="30" bestFit="1" customWidth="1"/>
    <col min="4" max="4" width="21.77734375" bestFit="1" customWidth="1"/>
  </cols>
  <sheetData>
    <row r="3" spans="1:3" x14ac:dyDescent="0.3">
      <c r="A3" s="9" t="s">
        <v>27</v>
      </c>
      <c r="B3" t="s">
        <v>30</v>
      </c>
      <c r="C3" t="s">
        <v>32</v>
      </c>
    </row>
    <row r="4" spans="1:3" x14ac:dyDescent="0.3">
      <c r="A4" s="10">
        <v>23</v>
      </c>
      <c r="B4">
        <v>136032376.68134999</v>
      </c>
      <c r="C4">
        <v>18</v>
      </c>
    </row>
    <row r="5" spans="1:3" x14ac:dyDescent="0.3">
      <c r="A5" s="11" t="s">
        <v>16</v>
      </c>
      <c r="B5">
        <v>5800290</v>
      </c>
      <c r="C5">
        <v>1</v>
      </c>
    </row>
    <row r="6" spans="1:3" x14ac:dyDescent="0.3">
      <c r="A6" s="11" t="s">
        <v>11</v>
      </c>
      <c r="B6">
        <v>6829921.5</v>
      </c>
      <c r="C6">
        <v>1</v>
      </c>
    </row>
    <row r="7" spans="1:3" x14ac:dyDescent="0.3">
      <c r="A7" s="11" t="s">
        <v>17</v>
      </c>
      <c r="B7">
        <v>3865251</v>
      </c>
      <c r="C7">
        <v>1</v>
      </c>
    </row>
    <row r="8" spans="1:3" x14ac:dyDescent="0.3">
      <c r="A8" s="11" t="s">
        <v>10</v>
      </c>
      <c r="B8">
        <v>2945035.5</v>
      </c>
      <c r="C8">
        <v>1</v>
      </c>
    </row>
    <row r="9" spans="1:3" x14ac:dyDescent="0.3">
      <c r="A9" s="11" t="s">
        <v>20</v>
      </c>
      <c r="B9">
        <v>2538967.5</v>
      </c>
      <c r="C9">
        <v>1</v>
      </c>
    </row>
    <row r="10" spans="1:3" x14ac:dyDescent="0.3">
      <c r="A10" s="11" t="s">
        <v>22</v>
      </c>
      <c r="B10">
        <v>18914194.5</v>
      </c>
      <c r="C10">
        <v>1</v>
      </c>
    </row>
    <row r="11" spans="1:3" x14ac:dyDescent="0.3">
      <c r="A11" s="11" t="s">
        <v>21</v>
      </c>
      <c r="B11">
        <v>19465372.5</v>
      </c>
      <c r="C11">
        <v>1</v>
      </c>
    </row>
    <row r="12" spans="1:3" x14ac:dyDescent="0.3">
      <c r="A12" s="11" t="s">
        <v>13</v>
      </c>
      <c r="B12">
        <v>3013512</v>
      </c>
      <c r="C12">
        <v>1</v>
      </c>
    </row>
    <row r="13" spans="1:3" x14ac:dyDescent="0.3">
      <c r="A13" s="11" t="s">
        <v>23</v>
      </c>
      <c r="B13">
        <v>1293219</v>
      </c>
      <c r="C13">
        <v>1</v>
      </c>
    </row>
    <row r="14" spans="1:3" x14ac:dyDescent="0.3">
      <c r="A14" s="11" t="s">
        <v>18</v>
      </c>
      <c r="B14">
        <v>1526608.5</v>
      </c>
      <c r="C14">
        <v>1</v>
      </c>
    </row>
    <row r="15" spans="1:3" x14ac:dyDescent="0.3">
      <c r="A15" s="11" t="s">
        <v>19</v>
      </c>
      <c r="B15">
        <v>1565632.5</v>
      </c>
      <c r="C15">
        <v>1</v>
      </c>
    </row>
    <row r="16" spans="1:3" x14ac:dyDescent="0.3">
      <c r="A16" s="11" t="s">
        <v>9</v>
      </c>
      <c r="B16">
        <v>636345</v>
      </c>
      <c r="C16">
        <v>1</v>
      </c>
    </row>
    <row r="17" spans="1:3" x14ac:dyDescent="0.3">
      <c r="A17" s="11" t="s">
        <v>15</v>
      </c>
      <c r="B17">
        <v>37257840.18135</v>
      </c>
      <c r="C17">
        <v>1</v>
      </c>
    </row>
    <row r="18" spans="1:3" x14ac:dyDescent="0.3">
      <c r="A18" s="11" t="s">
        <v>14</v>
      </c>
      <c r="B18">
        <v>27770092.5</v>
      </c>
      <c r="C18">
        <v>1</v>
      </c>
    </row>
    <row r="19" spans="1:3" x14ac:dyDescent="0.3">
      <c r="A19" s="11" t="s">
        <v>12</v>
      </c>
      <c r="B19">
        <v>1007742</v>
      </c>
      <c r="C19">
        <v>1</v>
      </c>
    </row>
    <row r="20" spans="1:3" x14ac:dyDescent="0.3">
      <c r="A20" s="11" t="s">
        <v>25</v>
      </c>
      <c r="B20">
        <v>389013</v>
      </c>
      <c r="C20">
        <v>1</v>
      </c>
    </row>
    <row r="21" spans="1:3" x14ac:dyDescent="0.3">
      <c r="A21" s="11" t="s">
        <v>24</v>
      </c>
      <c r="B21">
        <v>802447.5</v>
      </c>
      <c r="C21">
        <v>1</v>
      </c>
    </row>
    <row r="22" spans="1:3" x14ac:dyDescent="0.3">
      <c r="A22" s="11" t="s">
        <v>26</v>
      </c>
      <c r="B22">
        <v>410892</v>
      </c>
      <c r="C22">
        <v>1</v>
      </c>
    </row>
    <row r="23" spans="1:3" x14ac:dyDescent="0.3">
      <c r="A23" s="10" t="s">
        <v>28</v>
      </c>
      <c r="B23">
        <v>136032376.68134999</v>
      </c>
      <c r="C2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0905-3143-4E59-B686-377C823527A3}">
  <dimension ref="A1:I507"/>
  <sheetViews>
    <sheetView workbookViewId="0">
      <selection activeCell="H4" sqref="H4"/>
    </sheetView>
  </sheetViews>
  <sheetFormatPr defaultRowHeight="14.4" x14ac:dyDescent="0.3"/>
  <cols>
    <col min="1" max="1" width="9.55468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1.109375" bestFit="1" customWidth="1"/>
    <col min="6" max="6" width="20.88671875" bestFit="1" customWidth="1"/>
    <col min="7" max="7" width="22.109375" bestFit="1" customWidth="1"/>
    <col min="8" max="8" width="24.21875" bestFit="1" customWidth="1"/>
    <col min="9" max="9" width="9.5546875" bestFit="1" customWidth="1"/>
  </cols>
  <sheetData>
    <row r="1" spans="1:9" x14ac:dyDescent="0.3">
      <c r="A1" s="24" t="s">
        <v>543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s="8">
        <v>43950</v>
      </c>
      <c r="B4" t="s">
        <v>10</v>
      </c>
      <c r="C4">
        <v>29319</v>
      </c>
      <c r="D4">
        <v>2623480.5</v>
      </c>
      <c r="E4">
        <v>18</v>
      </c>
      <c r="F4">
        <v>1684</v>
      </c>
      <c r="G4">
        <v>1528</v>
      </c>
      <c r="H4">
        <v>145748.91666666666</v>
      </c>
      <c r="I4">
        <v>18</v>
      </c>
    </row>
    <row r="5" spans="1:9" x14ac:dyDescent="0.3">
      <c r="A5" s="8">
        <v>43953</v>
      </c>
      <c r="B5" t="s">
        <v>10</v>
      </c>
      <c r="C5">
        <v>29031</v>
      </c>
      <c r="D5">
        <v>2711247</v>
      </c>
      <c r="E5">
        <v>18</v>
      </c>
      <c r="F5">
        <v>1708</v>
      </c>
      <c r="G5">
        <v>1534</v>
      </c>
      <c r="H5">
        <v>150624.83333333334</v>
      </c>
      <c r="I5">
        <v>18</v>
      </c>
    </row>
    <row r="6" spans="1:9" x14ac:dyDescent="0.3">
      <c r="A6" s="8">
        <v>43952</v>
      </c>
      <c r="B6" t="s">
        <v>10</v>
      </c>
      <c r="C6">
        <v>32487</v>
      </c>
      <c r="D6">
        <v>3031254</v>
      </c>
      <c r="E6">
        <v>18</v>
      </c>
      <c r="F6">
        <v>1826</v>
      </c>
      <c r="G6">
        <v>1633</v>
      </c>
      <c r="H6">
        <v>168403</v>
      </c>
      <c r="I6">
        <v>18</v>
      </c>
    </row>
    <row r="7" spans="1:9" x14ac:dyDescent="0.3">
      <c r="A7" s="8">
        <v>43949</v>
      </c>
      <c r="B7" t="s">
        <v>10</v>
      </c>
      <c r="C7">
        <v>26940</v>
      </c>
      <c r="D7">
        <v>2411587.5</v>
      </c>
      <c r="E7" t="e">
        <v>#N/A</v>
      </c>
      <c r="F7" t="e">
        <v>#N/A</v>
      </c>
      <c r="G7" t="e">
        <v>#N/A</v>
      </c>
      <c r="H7">
        <v>0</v>
      </c>
      <c r="I7">
        <v>18</v>
      </c>
    </row>
    <row r="8" spans="1:9" x14ac:dyDescent="0.3">
      <c r="A8" s="8">
        <v>43954</v>
      </c>
      <c r="B8" t="s">
        <v>10</v>
      </c>
      <c r="C8">
        <v>26082</v>
      </c>
      <c r="D8">
        <v>2434914</v>
      </c>
      <c r="E8">
        <v>20</v>
      </c>
      <c r="F8">
        <v>1520</v>
      </c>
      <c r="G8">
        <v>1373</v>
      </c>
      <c r="H8">
        <v>121745.7</v>
      </c>
      <c r="I8">
        <v>18</v>
      </c>
    </row>
    <row r="9" spans="1:9" x14ac:dyDescent="0.3">
      <c r="A9" s="8">
        <v>43951</v>
      </c>
      <c r="B9" t="s">
        <v>10</v>
      </c>
      <c r="C9">
        <v>30445.5</v>
      </c>
      <c r="D9">
        <v>2817196.5</v>
      </c>
      <c r="E9">
        <v>19</v>
      </c>
      <c r="F9">
        <v>1712</v>
      </c>
      <c r="G9">
        <v>1552</v>
      </c>
      <c r="H9">
        <v>148273.5</v>
      </c>
      <c r="I9">
        <v>18</v>
      </c>
    </row>
    <row r="10" spans="1:9" x14ac:dyDescent="0.3">
      <c r="A10" s="8">
        <v>43950</v>
      </c>
      <c r="B10" t="s">
        <v>11</v>
      </c>
      <c r="C10">
        <v>79527</v>
      </c>
      <c r="D10">
        <v>7180498.5</v>
      </c>
      <c r="E10" t="e">
        <v>#N/A</v>
      </c>
      <c r="F10" t="e">
        <v>#N/A</v>
      </c>
      <c r="G10" t="e">
        <v>#N/A</v>
      </c>
      <c r="H10">
        <v>0</v>
      </c>
      <c r="I10">
        <v>18</v>
      </c>
    </row>
    <row r="11" spans="1:9" x14ac:dyDescent="0.3">
      <c r="A11" s="8">
        <v>43953</v>
      </c>
      <c r="B11" t="s">
        <v>11</v>
      </c>
      <c r="C11">
        <v>60463.5</v>
      </c>
      <c r="D11">
        <v>5554192.5</v>
      </c>
      <c r="E11">
        <v>31</v>
      </c>
      <c r="F11">
        <v>4157</v>
      </c>
      <c r="G11">
        <v>3823</v>
      </c>
      <c r="H11">
        <v>179167.5</v>
      </c>
      <c r="I11">
        <v>18</v>
      </c>
    </row>
    <row r="12" spans="1:9" x14ac:dyDescent="0.3">
      <c r="A12" s="8">
        <v>43952</v>
      </c>
      <c r="B12" t="s">
        <v>11</v>
      </c>
      <c r="C12">
        <v>97534.5</v>
      </c>
      <c r="D12">
        <v>8893024.5</v>
      </c>
      <c r="E12">
        <v>31</v>
      </c>
      <c r="F12">
        <v>6118</v>
      </c>
      <c r="G12">
        <v>5564</v>
      </c>
      <c r="H12">
        <v>286871.75806451612</v>
      </c>
      <c r="I12">
        <v>18</v>
      </c>
    </row>
    <row r="13" spans="1:9" x14ac:dyDescent="0.3">
      <c r="A13" s="8">
        <v>43949</v>
      </c>
      <c r="B13" t="s">
        <v>11</v>
      </c>
      <c r="C13">
        <v>81826.5</v>
      </c>
      <c r="D13">
        <v>7163644.5</v>
      </c>
      <c r="E13" t="e">
        <v>#N/A</v>
      </c>
      <c r="F13" t="e">
        <v>#N/A</v>
      </c>
      <c r="G13" t="e">
        <v>#N/A</v>
      </c>
      <c r="H13">
        <v>0</v>
      </c>
      <c r="I13">
        <v>18</v>
      </c>
    </row>
    <row r="14" spans="1:9" x14ac:dyDescent="0.3">
      <c r="A14" s="8">
        <v>43954</v>
      </c>
      <c r="B14" t="s">
        <v>11</v>
      </c>
      <c r="C14">
        <v>77263.5</v>
      </c>
      <c r="D14">
        <v>7013670</v>
      </c>
      <c r="E14">
        <v>31</v>
      </c>
      <c r="F14">
        <v>5155</v>
      </c>
      <c r="G14">
        <v>4762</v>
      </c>
      <c r="H14">
        <v>226247.4193548387</v>
      </c>
      <c r="I14">
        <v>18</v>
      </c>
    </row>
    <row r="15" spans="1:9" x14ac:dyDescent="0.3">
      <c r="A15" s="8">
        <v>43951</v>
      </c>
      <c r="B15" t="s">
        <v>11</v>
      </c>
      <c r="C15">
        <v>77565</v>
      </c>
      <c r="D15">
        <v>7023727.5</v>
      </c>
      <c r="E15" t="e">
        <v>#N/A</v>
      </c>
      <c r="F15" t="e">
        <v>#N/A</v>
      </c>
      <c r="G15" t="e">
        <v>#N/A</v>
      </c>
      <c r="H15">
        <v>0</v>
      </c>
      <c r="I15">
        <v>18</v>
      </c>
    </row>
    <row r="16" spans="1:9" x14ac:dyDescent="0.3">
      <c r="A16" s="8">
        <v>43950</v>
      </c>
      <c r="B16" t="s">
        <v>12</v>
      </c>
      <c r="C16">
        <v>10840.5</v>
      </c>
      <c r="D16">
        <v>797919</v>
      </c>
      <c r="E16" t="e">
        <v>#N/A</v>
      </c>
      <c r="F16" t="e">
        <v>#N/A</v>
      </c>
      <c r="G16" t="e">
        <v>#N/A</v>
      </c>
      <c r="H16">
        <v>0</v>
      </c>
      <c r="I16">
        <v>18</v>
      </c>
    </row>
    <row r="17" spans="1:9" x14ac:dyDescent="0.3">
      <c r="A17" s="8">
        <v>43953</v>
      </c>
      <c r="B17" t="s">
        <v>12</v>
      </c>
      <c r="C17">
        <v>7866</v>
      </c>
      <c r="D17">
        <v>617881.5</v>
      </c>
      <c r="E17">
        <v>10</v>
      </c>
      <c r="F17">
        <v>416</v>
      </c>
      <c r="G17">
        <v>341</v>
      </c>
      <c r="H17">
        <v>61788.15</v>
      </c>
      <c r="I17">
        <v>18</v>
      </c>
    </row>
    <row r="18" spans="1:9" x14ac:dyDescent="0.3">
      <c r="A18" s="8">
        <v>43952</v>
      </c>
      <c r="B18" t="s">
        <v>12</v>
      </c>
      <c r="C18">
        <v>11619</v>
      </c>
      <c r="D18">
        <v>891139.5</v>
      </c>
      <c r="E18" t="e">
        <v>#N/A</v>
      </c>
      <c r="F18" t="e">
        <v>#N/A</v>
      </c>
      <c r="G18" t="e">
        <v>#N/A</v>
      </c>
      <c r="H18">
        <v>0</v>
      </c>
      <c r="I18">
        <v>18</v>
      </c>
    </row>
    <row r="19" spans="1:9" x14ac:dyDescent="0.3">
      <c r="A19" s="8">
        <v>43949</v>
      </c>
      <c r="B19" t="s">
        <v>12</v>
      </c>
      <c r="C19">
        <v>12331.5</v>
      </c>
      <c r="D19">
        <v>869983.5</v>
      </c>
      <c r="E19" t="e">
        <v>#N/A</v>
      </c>
      <c r="F19" t="e">
        <v>#N/A</v>
      </c>
      <c r="G19" t="e">
        <v>#N/A</v>
      </c>
      <c r="H19">
        <v>0</v>
      </c>
      <c r="I19">
        <v>18</v>
      </c>
    </row>
    <row r="20" spans="1:9" x14ac:dyDescent="0.3">
      <c r="A20" s="8">
        <v>43954</v>
      </c>
      <c r="B20" t="s">
        <v>12</v>
      </c>
      <c r="C20">
        <v>8185.5</v>
      </c>
      <c r="D20">
        <v>637881</v>
      </c>
      <c r="E20">
        <v>10</v>
      </c>
      <c r="F20">
        <v>402</v>
      </c>
      <c r="G20">
        <v>333</v>
      </c>
      <c r="H20">
        <v>63788.1</v>
      </c>
      <c r="I20">
        <v>18</v>
      </c>
    </row>
    <row r="21" spans="1:9" x14ac:dyDescent="0.3">
      <c r="A21" s="8">
        <v>43951</v>
      </c>
      <c r="B21" t="s">
        <v>12</v>
      </c>
      <c r="C21">
        <v>8934</v>
      </c>
      <c r="D21">
        <v>716196</v>
      </c>
      <c r="E21" t="e">
        <v>#N/A</v>
      </c>
      <c r="F21" t="e">
        <v>#N/A</v>
      </c>
      <c r="G21" t="e">
        <v>#N/A</v>
      </c>
      <c r="H21">
        <v>0</v>
      </c>
      <c r="I21">
        <v>18</v>
      </c>
    </row>
    <row r="22" spans="1:9" x14ac:dyDescent="0.3">
      <c r="A22" s="8">
        <v>43950</v>
      </c>
      <c r="B22" t="s">
        <v>13</v>
      </c>
      <c r="C22">
        <v>25917</v>
      </c>
      <c r="D22">
        <v>2397588</v>
      </c>
      <c r="E22" t="e">
        <v>#N/A</v>
      </c>
      <c r="F22" t="e">
        <v>#N/A</v>
      </c>
      <c r="G22" t="e">
        <v>#N/A</v>
      </c>
      <c r="H22">
        <v>0</v>
      </c>
      <c r="I22">
        <v>18</v>
      </c>
    </row>
    <row r="23" spans="1:9" x14ac:dyDescent="0.3">
      <c r="A23" s="8">
        <v>43953</v>
      </c>
      <c r="B23" t="s">
        <v>13</v>
      </c>
      <c r="C23">
        <v>19461</v>
      </c>
      <c r="D23">
        <v>1799230.5</v>
      </c>
      <c r="E23" t="e">
        <v>#N/A</v>
      </c>
      <c r="F23" t="e">
        <v>#N/A</v>
      </c>
      <c r="G23" t="e">
        <v>#N/A</v>
      </c>
      <c r="H23">
        <v>0</v>
      </c>
      <c r="I23">
        <v>18</v>
      </c>
    </row>
    <row r="24" spans="1:9" x14ac:dyDescent="0.3">
      <c r="A24" s="8">
        <v>43952</v>
      </c>
      <c r="B24" t="s">
        <v>13</v>
      </c>
      <c r="C24">
        <v>25792.5</v>
      </c>
      <c r="D24">
        <v>2374356</v>
      </c>
      <c r="E24" t="e">
        <v>#N/A</v>
      </c>
      <c r="F24" t="e">
        <v>#N/A</v>
      </c>
      <c r="G24" t="e">
        <v>#N/A</v>
      </c>
      <c r="H24">
        <v>0</v>
      </c>
      <c r="I24">
        <v>18</v>
      </c>
    </row>
    <row r="25" spans="1:9" x14ac:dyDescent="0.3">
      <c r="A25" s="8">
        <v>43949</v>
      </c>
      <c r="B25" t="s">
        <v>13</v>
      </c>
      <c r="C25">
        <v>23314.5</v>
      </c>
      <c r="D25">
        <v>2136817.5</v>
      </c>
      <c r="E25" t="e">
        <v>#N/A</v>
      </c>
      <c r="F25" t="e">
        <v>#N/A</v>
      </c>
      <c r="G25" t="e">
        <v>#N/A</v>
      </c>
      <c r="H25">
        <v>0</v>
      </c>
      <c r="I25">
        <v>18</v>
      </c>
    </row>
    <row r="26" spans="1:9" x14ac:dyDescent="0.3">
      <c r="A26" s="8">
        <v>43954</v>
      </c>
      <c r="B26" t="s">
        <v>13</v>
      </c>
      <c r="C26">
        <v>23539.5</v>
      </c>
      <c r="D26">
        <v>2170309.5</v>
      </c>
      <c r="E26" t="e">
        <v>#N/A</v>
      </c>
      <c r="F26" t="e">
        <v>#N/A</v>
      </c>
      <c r="G26" t="e">
        <v>#N/A</v>
      </c>
      <c r="H26">
        <v>0</v>
      </c>
      <c r="I26">
        <v>18</v>
      </c>
    </row>
    <row r="27" spans="1:9" x14ac:dyDescent="0.3">
      <c r="A27" s="8">
        <v>43951</v>
      </c>
      <c r="B27" t="s">
        <v>13</v>
      </c>
      <c r="C27">
        <v>24211.5</v>
      </c>
      <c r="D27">
        <v>2267664</v>
      </c>
      <c r="E27" t="e">
        <v>#N/A</v>
      </c>
      <c r="F27" t="e">
        <v>#N/A</v>
      </c>
      <c r="G27" t="e">
        <v>#N/A</v>
      </c>
      <c r="H27">
        <v>0</v>
      </c>
      <c r="I27">
        <v>18</v>
      </c>
    </row>
    <row r="28" spans="1:9" x14ac:dyDescent="0.3">
      <c r="A28" s="8">
        <v>43950</v>
      </c>
      <c r="B28" t="s">
        <v>14</v>
      </c>
      <c r="C28">
        <v>298059</v>
      </c>
      <c r="D28">
        <v>30869287.5</v>
      </c>
      <c r="E28" t="e">
        <v>#N/A</v>
      </c>
      <c r="F28" t="e">
        <v>#N/A</v>
      </c>
      <c r="G28" t="e">
        <v>#N/A</v>
      </c>
      <c r="H28">
        <v>0</v>
      </c>
      <c r="I28">
        <v>18</v>
      </c>
    </row>
    <row r="29" spans="1:9" x14ac:dyDescent="0.3">
      <c r="A29" s="8">
        <v>43953</v>
      </c>
      <c r="B29" t="s">
        <v>14</v>
      </c>
      <c r="C29">
        <v>232903.5</v>
      </c>
      <c r="D29">
        <v>24342016.5</v>
      </c>
      <c r="E29" t="e">
        <v>#N/A</v>
      </c>
      <c r="F29" t="e">
        <v>#N/A</v>
      </c>
      <c r="G29" t="e">
        <v>#N/A</v>
      </c>
      <c r="H29">
        <v>0</v>
      </c>
      <c r="I29">
        <v>18</v>
      </c>
    </row>
    <row r="30" spans="1:9" x14ac:dyDescent="0.3">
      <c r="A30" s="8">
        <v>43952</v>
      </c>
      <c r="B30" t="s">
        <v>14</v>
      </c>
      <c r="C30">
        <v>296149.5</v>
      </c>
      <c r="D30">
        <v>31053316.5</v>
      </c>
      <c r="E30" t="e">
        <v>#N/A</v>
      </c>
      <c r="F30" t="e">
        <v>#N/A</v>
      </c>
      <c r="G30" t="e">
        <v>#N/A</v>
      </c>
      <c r="H30">
        <v>0</v>
      </c>
      <c r="I30">
        <v>18</v>
      </c>
    </row>
    <row r="31" spans="1:9" x14ac:dyDescent="0.3">
      <c r="A31" s="8">
        <v>43949</v>
      </c>
      <c r="B31" t="s">
        <v>14</v>
      </c>
      <c r="C31">
        <v>286002</v>
      </c>
      <c r="D31">
        <v>29159032.5</v>
      </c>
      <c r="E31" t="e">
        <v>#N/A</v>
      </c>
      <c r="F31" t="e">
        <v>#N/A</v>
      </c>
      <c r="G31" t="e">
        <v>#N/A</v>
      </c>
      <c r="H31">
        <v>0</v>
      </c>
      <c r="I31">
        <v>18</v>
      </c>
    </row>
    <row r="32" spans="1:9" x14ac:dyDescent="0.3">
      <c r="A32" s="8">
        <v>43954</v>
      </c>
      <c r="B32" t="s">
        <v>14</v>
      </c>
      <c r="C32">
        <v>274083</v>
      </c>
      <c r="D32">
        <v>28427001</v>
      </c>
      <c r="E32" t="e">
        <v>#N/A</v>
      </c>
      <c r="F32" t="e">
        <v>#N/A</v>
      </c>
      <c r="G32" t="e">
        <v>#N/A</v>
      </c>
      <c r="H32">
        <v>0</v>
      </c>
      <c r="I32">
        <v>18</v>
      </c>
    </row>
    <row r="33" spans="1:9" x14ac:dyDescent="0.3">
      <c r="A33" s="8">
        <v>43951</v>
      </c>
      <c r="B33" t="s">
        <v>14</v>
      </c>
      <c r="C33">
        <v>311131.5</v>
      </c>
      <c r="D33">
        <v>32418879</v>
      </c>
      <c r="E33" t="e">
        <v>#N/A</v>
      </c>
      <c r="F33" t="e">
        <v>#N/A</v>
      </c>
      <c r="G33" t="e">
        <v>#N/A</v>
      </c>
      <c r="H33">
        <v>0</v>
      </c>
      <c r="I33">
        <v>18</v>
      </c>
    </row>
    <row r="34" spans="1:9" x14ac:dyDescent="0.3">
      <c r="A34" s="8">
        <v>43950</v>
      </c>
      <c r="B34" t="s">
        <v>15</v>
      </c>
      <c r="C34">
        <v>387220.5</v>
      </c>
      <c r="D34">
        <v>41559384</v>
      </c>
      <c r="E34" t="e">
        <v>#N/A</v>
      </c>
      <c r="F34" t="e">
        <v>#N/A</v>
      </c>
      <c r="G34" t="e">
        <v>#N/A</v>
      </c>
      <c r="H34">
        <v>0</v>
      </c>
      <c r="I34">
        <v>18</v>
      </c>
    </row>
    <row r="35" spans="1:9" x14ac:dyDescent="0.3">
      <c r="A35" s="8">
        <v>43953</v>
      </c>
      <c r="B35" t="s">
        <v>15</v>
      </c>
      <c r="C35">
        <v>296580</v>
      </c>
      <c r="D35">
        <v>31843737</v>
      </c>
      <c r="E35" t="e">
        <v>#N/A</v>
      </c>
      <c r="F35" t="e">
        <v>#N/A</v>
      </c>
      <c r="G35" t="e">
        <v>#N/A</v>
      </c>
      <c r="H35">
        <v>0</v>
      </c>
      <c r="I35">
        <v>18</v>
      </c>
    </row>
    <row r="36" spans="1:9" x14ac:dyDescent="0.3">
      <c r="A36" s="8">
        <v>43952</v>
      </c>
      <c r="B36" t="s">
        <v>15</v>
      </c>
      <c r="C36">
        <v>372504</v>
      </c>
      <c r="D36">
        <v>40077193.5</v>
      </c>
      <c r="E36" t="e">
        <v>#N/A</v>
      </c>
      <c r="F36" t="e">
        <v>#N/A</v>
      </c>
      <c r="G36" t="e">
        <v>#N/A</v>
      </c>
      <c r="H36">
        <v>0</v>
      </c>
      <c r="I36">
        <v>18</v>
      </c>
    </row>
    <row r="37" spans="1:9" x14ac:dyDescent="0.3">
      <c r="A37" s="8">
        <v>43949</v>
      </c>
      <c r="B37" t="s">
        <v>15</v>
      </c>
      <c r="C37">
        <v>376060.5</v>
      </c>
      <c r="D37">
        <v>39918028.5</v>
      </c>
      <c r="E37" t="e">
        <v>#N/A</v>
      </c>
      <c r="F37" t="e">
        <v>#N/A</v>
      </c>
      <c r="G37" t="e">
        <v>#N/A</v>
      </c>
      <c r="H37">
        <v>0</v>
      </c>
      <c r="I37">
        <v>18</v>
      </c>
    </row>
    <row r="38" spans="1:9" x14ac:dyDescent="0.3">
      <c r="A38" s="8">
        <v>43954</v>
      </c>
      <c r="B38" t="s">
        <v>15</v>
      </c>
      <c r="C38">
        <v>342666</v>
      </c>
      <c r="D38">
        <v>36631999.5</v>
      </c>
      <c r="E38" t="e">
        <v>#N/A</v>
      </c>
      <c r="F38" t="e">
        <v>#N/A</v>
      </c>
      <c r="G38" t="e">
        <v>#N/A</v>
      </c>
      <c r="H38">
        <v>0</v>
      </c>
      <c r="I38">
        <v>18</v>
      </c>
    </row>
    <row r="39" spans="1:9" x14ac:dyDescent="0.3">
      <c r="A39" s="8">
        <v>43951</v>
      </c>
      <c r="B39" t="s">
        <v>15</v>
      </c>
      <c r="C39">
        <v>401580</v>
      </c>
      <c r="D39">
        <v>43028734.5</v>
      </c>
      <c r="E39" t="e">
        <v>#N/A</v>
      </c>
      <c r="F39" t="e">
        <v>#N/A</v>
      </c>
      <c r="G39" t="e">
        <v>#N/A</v>
      </c>
      <c r="H39">
        <v>0</v>
      </c>
      <c r="I39">
        <v>18</v>
      </c>
    </row>
    <row r="40" spans="1:9" x14ac:dyDescent="0.3">
      <c r="A40" s="8">
        <v>43950</v>
      </c>
      <c r="B40" t="s">
        <v>16</v>
      </c>
      <c r="C40">
        <v>74707.5</v>
      </c>
      <c r="D40">
        <v>6454458</v>
      </c>
      <c r="E40" t="e">
        <v>#N/A</v>
      </c>
      <c r="F40" t="e">
        <v>#N/A</v>
      </c>
      <c r="G40" t="e">
        <v>#N/A</v>
      </c>
      <c r="H40">
        <v>0</v>
      </c>
      <c r="I40">
        <v>18</v>
      </c>
    </row>
    <row r="41" spans="1:9" x14ac:dyDescent="0.3">
      <c r="A41" s="8">
        <v>43953</v>
      </c>
      <c r="B41" t="s">
        <v>16</v>
      </c>
      <c r="C41">
        <v>46216.5</v>
      </c>
      <c r="D41">
        <v>4118251.5</v>
      </c>
      <c r="E41" t="e">
        <v>#N/A</v>
      </c>
      <c r="F41" t="e">
        <v>#N/A</v>
      </c>
      <c r="G41" t="e">
        <v>#N/A</v>
      </c>
      <c r="H41">
        <v>0</v>
      </c>
      <c r="I41">
        <v>18</v>
      </c>
    </row>
    <row r="42" spans="1:9" x14ac:dyDescent="0.3">
      <c r="A42" s="8">
        <v>43952</v>
      </c>
      <c r="B42" t="s">
        <v>16</v>
      </c>
      <c r="C42">
        <v>82228.5</v>
      </c>
      <c r="D42">
        <v>7032225</v>
      </c>
      <c r="E42" t="e">
        <v>#N/A</v>
      </c>
      <c r="F42" t="e">
        <v>#N/A</v>
      </c>
      <c r="G42" t="e">
        <v>#N/A</v>
      </c>
      <c r="H42">
        <v>0</v>
      </c>
      <c r="I42">
        <v>18</v>
      </c>
    </row>
    <row r="43" spans="1:9" x14ac:dyDescent="0.3">
      <c r="A43" s="8">
        <v>43949</v>
      </c>
      <c r="B43" t="s">
        <v>16</v>
      </c>
      <c r="C43">
        <v>73147.5</v>
      </c>
      <c r="D43">
        <v>6288246</v>
      </c>
      <c r="E43" t="e">
        <v>#N/A</v>
      </c>
      <c r="F43" t="e">
        <v>#N/A</v>
      </c>
      <c r="G43" t="e">
        <v>#N/A</v>
      </c>
      <c r="H43">
        <v>0</v>
      </c>
      <c r="I43">
        <v>18</v>
      </c>
    </row>
    <row r="44" spans="1:9" x14ac:dyDescent="0.3">
      <c r="A44" s="8">
        <v>43954</v>
      </c>
      <c r="B44" t="s">
        <v>16</v>
      </c>
      <c r="C44">
        <v>70581</v>
      </c>
      <c r="D44">
        <v>6221320.5</v>
      </c>
      <c r="E44" t="e">
        <v>#N/A</v>
      </c>
      <c r="F44" t="e">
        <v>#N/A</v>
      </c>
      <c r="G44" t="e">
        <v>#N/A</v>
      </c>
      <c r="H44">
        <v>0</v>
      </c>
      <c r="I44">
        <v>18</v>
      </c>
    </row>
    <row r="45" spans="1:9" x14ac:dyDescent="0.3">
      <c r="A45" s="8">
        <v>43951</v>
      </c>
      <c r="B45" t="s">
        <v>16</v>
      </c>
      <c r="C45">
        <v>78235.5</v>
      </c>
      <c r="D45">
        <v>6819594</v>
      </c>
      <c r="E45" t="e">
        <v>#N/A</v>
      </c>
      <c r="F45" t="e">
        <v>#N/A</v>
      </c>
      <c r="G45" t="e">
        <v>#N/A</v>
      </c>
      <c r="H45">
        <v>0</v>
      </c>
      <c r="I45">
        <v>18</v>
      </c>
    </row>
    <row r="46" spans="1:9" x14ac:dyDescent="0.3">
      <c r="A46" s="8">
        <v>43950</v>
      </c>
      <c r="B46" t="s">
        <v>17</v>
      </c>
      <c r="C46">
        <v>29142</v>
      </c>
      <c r="D46">
        <v>2627595</v>
      </c>
      <c r="E46" t="e">
        <v>#N/A</v>
      </c>
      <c r="F46" t="e">
        <v>#N/A</v>
      </c>
      <c r="G46" t="e">
        <v>#N/A</v>
      </c>
      <c r="H46">
        <v>0</v>
      </c>
      <c r="I46">
        <v>18</v>
      </c>
    </row>
    <row r="47" spans="1:9" x14ac:dyDescent="0.3">
      <c r="A47" s="8">
        <v>43953</v>
      </c>
      <c r="B47" t="s">
        <v>17</v>
      </c>
      <c r="C47">
        <v>26428.5</v>
      </c>
      <c r="D47">
        <v>2470465.5</v>
      </c>
      <c r="E47" t="e">
        <v>#N/A</v>
      </c>
      <c r="F47" t="e">
        <v>#N/A</v>
      </c>
      <c r="G47" t="e">
        <v>#N/A</v>
      </c>
      <c r="H47">
        <v>0</v>
      </c>
      <c r="I47">
        <v>18</v>
      </c>
    </row>
    <row r="48" spans="1:9" x14ac:dyDescent="0.3">
      <c r="A48" s="8">
        <v>43952</v>
      </c>
      <c r="B48" t="s">
        <v>17</v>
      </c>
      <c r="C48">
        <v>46620</v>
      </c>
      <c r="D48">
        <v>4293241.5</v>
      </c>
      <c r="E48" t="e">
        <v>#N/A</v>
      </c>
      <c r="F48" t="e">
        <v>#N/A</v>
      </c>
      <c r="G48" t="e">
        <v>#N/A</v>
      </c>
      <c r="H48">
        <v>0</v>
      </c>
      <c r="I48">
        <v>18</v>
      </c>
    </row>
    <row r="49" spans="1:9" x14ac:dyDescent="0.3">
      <c r="A49" s="8">
        <v>43949</v>
      </c>
      <c r="B49" t="s">
        <v>17</v>
      </c>
      <c r="C49">
        <v>32181</v>
      </c>
      <c r="D49">
        <v>2863600.5</v>
      </c>
      <c r="E49" t="e">
        <v>#N/A</v>
      </c>
      <c r="F49" t="e">
        <v>#N/A</v>
      </c>
      <c r="G49" t="e">
        <v>#N/A</v>
      </c>
      <c r="H49">
        <v>0</v>
      </c>
      <c r="I49">
        <v>18</v>
      </c>
    </row>
    <row r="50" spans="1:9" x14ac:dyDescent="0.3">
      <c r="A50" s="8">
        <v>43954</v>
      </c>
      <c r="B50" t="s">
        <v>17</v>
      </c>
      <c r="C50">
        <v>29935.5</v>
      </c>
      <c r="D50">
        <v>2720002.5</v>
      </c>
      <c r="E50" t="e">
        <v>#N/A</v>
      </c>
      <c r="F50" t="e">
        <v>#N/A</v>
      </c>
      <c r="G50" t="e">
        <v>#N/A</v>
      </c>
      <c r="H50">
        <v>0</v>
      </c>
      <c r="I50">
        <v>18</v>
      </c>
    </row>
    <row r="51" spans="1:9" x14ac:dyDescent="0.3">
      <c r="A51" s="8">
        <v>43951</v>
      </c>
      <c r="B51" t="s">
        <v>17</v>
      </c>
      <c r="C51">
        <v>31231.5</v>
      </c>
      <c r="D51">
        <v>2853310.5</v>
      </c>
      <c r="E51" t="e">
        <v>#N/A</v>
      </c>
      <c r="F51" t="e">
        <v>#N/A</v>
      </c>
      <c r="G51" t="e">
        <v>#N/A</v>
      </c>
      <c r="H51">
        <v>0</v>
      </c>
      <c r="I51">
        <v>18</v>
      </c>
    </row>
    <row r="52" spans="1:9" x14ac:dyDescent="0.3">
      <c r="A52" s="8">
        <v>43950</v>
      </c>
      <c r="B52" t="s">
        <v>18</v>
      </c>
      <c r="C52">
        <v>13014</v>
      </c>
      <c r="D52">
        <v>1115992.5</v>
      </c>
      <c r="E52" t="e">
        <v>#N/A</v>
      </c>
      <c r="F52" t="e">
        <v>#N/A</v>
      </c>
      <c r="G52" t="e">
        <v>#N/A</v>
      </c>
      <c r="H52">
        <v>0</v>
      </c>
      <c r="I52">
        <v>18</v>
      </c>
    </row>
    <row r="53" spans="1:9" x14ac:dyDescent="0.3">
      <c r="A53" s="8">
        <v>43953</v>
      </c>
      <c r="B53" t="s">
        <v>18</v>
      </c>
      <c r="C53">
        <v>12313.5</v>
      </c>
      <c r="D53">
        <v>1053220.5</v>
      </c>
      <c r="E53" t="e">
        <v>#N/A</v>
      </c>
      <c r="F53" t="e">
        <v>#N/A</v>
      </c>
      <c r="G53" t="e">
        <v>#N/A</v>
      </c>
      <c r="H53">
        <v>0</v>
      </c>
      <c r="I53">
        <v>18</v>
      </c>
    </row>
    <row r="54" spans="1:9" x14ac:dyDescent="0.3">
      <c r="A54" s="8">
        <v>43952</v>
      </c>
      <c r="B54" t="s">
        <v>18</v>
      </c>
      <c r="C54">
        <v>17113.5</v>
      </c>
      <c r="D54">
        <v>1465842</v>
      </c>
      <c r="E54" t="e">
        <v>#N/A</v>
      </c>
      <c r="F54" t="e">
        <v>#N/A</v>
      </c>
      <c r="G54" t="e">
        <v>#N/A</v>
      </c>
      <c r="H54">
        <v>0</v>
      </c>
      <c r="I54">
        <v>18</v>
      </c>
    </row>
    <row r="55" spans="1:9" x14ac:dyDescent="0.3">
      <c r="A55" s="8">
        <v>43949</v>
      </c>
      <c r="B55" t="s">
        <v>18</v>
      </c>
      <c r="C55">
        <v>13303.5</v>
      </c>
      <c r="D55">
        <v>1102887</v>
      </c>
      <c r="E55" t="e">
        <v>#N/A</v>
      </c>
      <c r="F55" t="e">
        <v>#N/A</v>
      </c>
      <c r="G55" t="e">
        <v>#N/A</v>
      </c>
      <c r="H55">
        <v>0</v>
      </c>
      <c r="I55">
        <v>18</v>
      </c>
    </row>
    <row r="56" spans="1:9" x14ac:dyDescent="0.3">
      <c r="A56" s="8">
        <v>43954</v>
      </c>
      <c r="B56" t="s">
        <v>18</v>
      </c>
      <c r="C56">
        <v>12924</v>
      </c>
      <c r="D56">
        <v>1120009.5</v>
      </c>
      <c r="E56" t="e">
        <v>#N/A</v>
      </c>
      <c r="F56" t="e">
        <v>#N/A</v>
      </c>
      <c r="G56" t="e">
        <v>#N/A</v>
      </c>
      <c r="H56">
        <v>0</v>
      </c>
      <c r="I56">
        <v>18</v>
      </c>
    </row>
    <row r="57" spans="1:9" x14ac:dyDescent="0.3">
      <c r="A57" s="8">
        <v>43951</v>
      </c>
      <c r="B57" t="s">
        <v>18</v>
      </c>
      <c r="C57">
        <v>12753</v>
      </c>
      <c r="D57">
        <v>1103068.5</v>
      </c>
      <c r="E57" t="e">
        <v>#N/A</v>
      </c>
      <c r="F57" t="e">
        <v>#N/A</v>
      </c>
      <c r="G57" t="e">
        <v>#N/A</v>
      </c>
      <c r="H57">
        <v>0</v>
      </c>
      <c r="I57">
        <v>18</v>
      </c>
    </row>
    <row r="58" spans="1:9" x14ac:dyDescent="0.3">
      <c r="A58" s="8">
        <v>43950</v>
      </c>
      <c r="B58" t="s">
        <v>20</v>
      </c>
      <c r="C58">
        <v>25816.5</v>
      </c>
      <c r="D58">
        <v>2360914.5</v>
      </c>
      <c r="E58" t="e">
        <v>#N/A</v>
      </c>
      <c r="F58" t="e">
        <v>#N/A</v>
      </c>
      <c r="G58" t="e">
        <v>#N/A</v>
      </c>
      <c r="H58">
        <v>0</v>
      </c>
      <c r="I58">
        <v>18</v>
      </c>
    </row>
    <row r="59" spans="1:9" x14ac:dyDescent="0.3">
      <c r="A59" s="8">
        <v>43953</v>
      </c>
      <c r="B59" t="s">
        <v>19</v>
      </c>
      <c r="C59">
        <v>4624.5</v>
      </c>
      <c r="D59">
        <v>433243.5</v>
      </c>
      <c r="E59" t="e">
        <v>#N/A</v>
      </c>
      <c r="F59" t="e">
        <v>#N/A</v>
      </c>
      <c r="G59" t="e">
        <v>#N/A</v>
      </c>
      <c r="H59">
        <v>0</v>
      </c>
      <c r="I59">
        <v>18</v>
      </c>
    </row>
    <row r="60" spans="1:9" x14ac:dyDescent="0.3">
      <c r="A60" s="8">
        <v>43952</v>
      </c>
      <c r="B60" t="s">
        <v>19</v>
      </c>
      <c r="C60">
        <v>5446.5</v>
      </c>
      <c r="D60">
        <v>505572</v>
      </c>
      <c r="E60" t="e">
        <v>#N/A</v>
      </c>
      <c r="F60" t="e">
        <v>#N/A</v>
      </c>
      <c r="G60" t="e">
        <v>#N/A</v>
      </c>
      <c r="H60">
        <v>0</v>
      </c>
      <c r="I60">
        <v>18</v>
      </c>
    </row>
    <row r="61" spans="1:9" x14ac:dyDescent="0.3">
      <c r="A61" s="8">
        <v>43949</v>
      </c>
      <c r="B61" t="s">
        <v>20</v>
      </c>
      <c r="C61">
        <v>25149</v>
      </c>
      <c r="D61">
        <v>2277072</v>
      </c>
      <c r="E61" t="e">
        <v>#N/A</v>
      </c>
      <c r="F61" t="e">
        <v>#N/A</v>
      </c>
      <c r="G61" t="e">
        <v>#N/A</v>
      </c>
      <c r="H61">
        <v>0</v>
      </c>
      <c r="I61">
        <v>18</v>
      </c>
    </row>
    <row r="62" spans="1:9" x14ac:dyDescent="0.3">
      <c r="A62" s="8">
        <v>43954</v>
      </c>
      <c r="B62" t="s">
        <v>19</v>
      </c>
      <c r="C62">
        <v>8127</v>
      </c>
      <c r="D62">
        <v>665302.5</v>
      </c>
      <c r="E62" t="e">
        <v>#N/A</v>
      </c>
      <c r="F62" t="e">
        <v>#N/A</v>
      </c>
      <c r="G62" t="e">
        <v>#N/A</v>
      </c>
      <c r="H62">
        <v>0</v>
      </c>
      <c r="I62">
        <v>18</v>
      </c>
    </row>
    <row r="63" spans="1:9" x14ac:dyDescent="0.3">
      <c r="A63" s="8">
        <v>43951</v>
      </c>
      <c r="B63" t="s">
        <v>19</v>
      </c>
      <c r="C63">
        <v>4285.5</v>
      </c>
      <c r="D63">
        <v>404691</v>
      </c>
      <c r="E63" t="e">
        <v>#N/A</v>
      </c>
      <c r="F63" t="e">
        <v>#N/A</v>
      </c>
      <c r="G63" t="e">
        <v>#N/A</v>
      </c>
      <c r="H63">
        <v>0</v>
      </c>
      <c r="I63">
        <v>18</v>
      </c>
    </row>
    <row r="64" spans="1:9" x14ac:dyDescent="0.3">
      <c r="A64" s="8">
        <v>43953</v>
      </c>
      <c r="B64" t="s">
        <v>20</v>
      </c>
      <c r="C64">
        <v>18427.5</v>
      </c>
      <c r="D64">
        <v>1682851.5</v>
      </c>
      <c r="E64" t="e">
        <v>#N/A</v>
      </c>
      <c r="F64" t="e">
        <v>#N/A</v>
      </c>
      <c r="G64" t="e">
        <v>#N/A</v>
      </c>
      <c r="H64">
        <v>0</v>
      </c>
      <c r="I64">
        <v>18</v>
      </c>
    </row>
    <row r="65" spans="1:9" x14ac:dyDescent="0.3">
      <c r="A65" s="8">
        <v>43952</v>
      </c>
      <c r="B65" t="s">
        <v>20</v>
      </c>
      <c r="C65">
        <v>35190</v>
      </c>
      <c r="D65">
        <v>3168510</v>
      </c>
      <c r="E65" t="e">
        <v>#N/A</v>
      </c>
      <c r="F65" t="e">
        <v>#N/A</v>
      </c>
      <c r="G65" t="e">
        <v>#N/A</v>
      </c>
      <c r="H65">
        <v>0</v>
      </c>
      <c r="I65">
        <v>18</v>
      </c>
    </row>
    <row r="66" spans="1:9" x14ac:dyDescent="0.3">
      <c r="A66" s="8">
        <v>43954</v>
      </c>
      <c r="B66" t="s">
        <v>20</v>
      </c>
      <c r="C66">
        <v>21343.5</v>
      </c>
      <c r="D66">
        <v>1906557</v>
      </c>
      <c r="E66" t="e">
        <v>#N/A</v>
      </c>
      <c r="F66" t="e">
        <v>#N/A</v>
      </c>
      <c r="G66" t="e">
        <v>#N/A</v>
      </c>
      <c r="H66">
        <v>0</v>
      </c>
      <c r="I66">
        <v>18</v>
      </c>
    </row>
    <row r="67" spans="1:9" x14ac:dyDescent="0.3">
      <c r="A67" s="8">
        <v>43951</v>
      </c>
      <c r="B67" t="s">
        <v>20</v>
      </c>
      <c r="C67">
        <v>27883.5</v>
      </c>
      <c r="D67">
        <v>2560080</v>
      </c>
      <c r="E67" t="e">
        <v>#N/A</v>
      </c>
      <c r="F67" t="e">
        <v>#N/A</v>
      </c>
      <c r="G67" t="e">
        <v>#N/A</v>
      </c>
      <c r="H67">
        <v>0</v>
      </c>
      <c r="I67">
        <v>18</v>
      </c>
    </row>
    <row r="68" spans="1:9" x14ac:dyDescent="0.3">
      <c r="A68" s="8">
        <v>43950</v>
      </c>
      <c r="B68" t="s">
        <v>21</v>
      </c>
      <c r="C68">
        <v>208351.5</v>
      </c>
      <c r="D68">
        <v>21615333</v>
      </c>
      <c r="E68" t="e">
        <v>#N/A</v>
      </c>
      <c r="F68" t="e">
        <v>#N/A</v>
      </c>
      <c r="G68" t="e">
        <v>#N/A</v>
      </c>
      <c r="H68">
        <v>0</v>
      </c>
      <c r="I68">
        <v>18</v>
      </c>
    </row>
    <row r="69" spans="1:9" x14ac:dyDescent="0.3">
      <c r="A69" s="8">
        <v>43949</v>
      </c>
      <c r="B69" t="s">
        <v>21</v>
      </c>
      <c r="C69">
        <v>204637.5</v>
      </c>
      <c r="D69">
        <v>21114898.5</v>
      </c>
      <c r="E69" t="e">
        <v>#N/A</v>
      </c>
      <c r="F69" t="e">
        <v>#N/A</v>
      </c>
      <c r="G69" t="e">
        <v>#N/A</v>
      </c>
      <c r="H69">
        <v>0</v>
      </c>
      <c r="I69">
        <v>18</v>
      </c>
    </row>
    <row r="70" spans="1:9" x14ac:dyDescent="0.3">
      <c r="A70" s="8">
        <v>43950</v>
      </c>
      <c r="B70" t="s">
        <v>22</v>
      </c>
      <c r="C70">
        <v>203209.5</v>
      </c>
      <c r="D70">
        <v>20871391.5</v>
      </c>
      <c r="E70" t="e">
        <v>#N/A</v>
      </c>
      <c r="F70" t="e">
        <v>#N/A</v>
      </c>
      <c r="G70" t="e">
        <v>#N/A</v>
      </c>
      <c r="H70">
        <v>0</v>
      </c>
      <c r="I70">
        <v>18</v>
      </c>
    </row>
    <row r="71" spans="1:9" x14ac:dyDescent="0.3">
      <c r="A71" s="8">
        <v>43953</v>
      </c>
      <c r="B71" t="s">
        <v>21</v>
      </c>
      <c r="C71">
        <v>185979</v>
      </c>
      <c r="D71">
        <v>19625364</v>
      </c>
      <c r="E71" t="e">
        <v>#N/A</v>
      </c>
      <c r="F71" t="e">
        <v>#N/A</v>
      </c>
      <c r="G71" t="e">
        <v>#N/A</v>
      </c>
      <c r="H71">
        <v>0</v>
      </c>
      <c r="I71">
        <v>18</v>
      </c>
    </row>
    <row r="72" spans="1:9" x14ac:dyDescent="0.3">
      <c r="A72" s="8">
        <v>43952</v>
      </c>
      <c r="B72" t="s">
        <v>21</v>
      </c>
      <c r="C72">
        <v>239409</v>
      </c>
      <c r="D72">
        <v>25413351</v>
      </c>
      <c r="E72" t="e">
        <v>#N/A</v>
      </c>
      <c r="F72" t="e">
        <v>#N/A</v>
      </c>
      <c r="G72" t="e">
        <v>#N/A</v>
      </c>
      <c r="H72">
        <v>0</v>
      </c>
      <c r="I72">
        <v>18</v>
      </c>
    </row>
    <row r="73" spans="1:9" x14ac:dyDescent="0.3">
      <c r="A73" s="8">
        <v>43949</v>
      </c>
      <c r="B73" t="s">
        <v>22</v>
      </c>
      <c r="C73">
        <v>195705</v>
      </c>
      <c r="D73">
        <v>20003263.5</v>
      </c>
      <c r="E73" t="e">
        <v>#N/A</v>
      </c>
      <c r="F73" t="e">
        <v>#N/A</v>
      </c>
      <c r="G73" t="e">
        <v>#N/A</v>
      </c>
      <c r="H73">
        <v>0</v>
      </c>
      <c r="I73">
        <v>18</v>
      </c>
    </row>
    <row r="74" spans="1:9" x14ac:dyDescent="0.3">
      <c r="A74" s="8">
        <v>43954</v>
      </c>
      <c r="B74" t="s">
        <v>21</v>
      </c>
      <c r="C74">
        <v>257215.5</v>
      </c>
      <c r="D74">
        <v>26492278.5</v>
      </c>
      <c r="E74" t="e">
        <v>#N/A</v>
      </c>
      <c r="F74" t="e">
        <v>#N/A</v>
      </c>
      <c r="G74" t="e">
        <v>#N/A</v>
      </c>
      <c r="H74">
        <v>0</v>
      </c>
      <c r="I74">
        <v>18</v>
      </c>
    </row>
    <row r="75" spans="1:9" x14ac:dyDescent="0.3">
      <c r="A75" s="8">
        <v>43951</v>
      </c>
      <c r="B75" t="s">
        <v>21</v>
      </c>
      <c r="C75">
        <v>214386</v>
      </c>
      <c r="D75">
        <v>22530000</v>
      </c>
      <c r="E75" t="e">
        <v>#N/A</v>
      </c>
      <c r="F75" t="e">
        <v>#N/A</v>
      </c>
      <c r="G75" t="e">
        <v>#N/A</v>
      </c>
      <c r="H75">
        <v>0</v>
      </c>
      <c r="I75">
        <v>18</v>
      </c>
    </row>
    <row r="76" spans="1:9" x14ac:dyDescent="0.3">
      <c r="A76" s="8">
        <v>43953</v>
      </c>
      <c r="B76" t="s">
        <v>22</v>
      </c>
      <c r="C76">
        <v>176397</v>
      </c>
      <c r="D76">
        <v>18625921.5</v>
      </c>
      <c r="E76" t="e">
        <v>#N/A</v>
      </c>
      <c r="F76" t="e">
        <v>#N/A</v>
      </c>
      <c r="G76" t="e">
        <v>#N/A</v>
      </c>
      <c r="H76">
        <v>0</v>
      </c>
      <c r="I76">
        <v>18</v>
      </c>
    </row>
    <row r="77" spans="1:9" x14ac:dyDescent="0.3">
      <c r="A77" s="8">
        <v>43952</v>
      </c>
      <c r="B77" t="s">
        <v>22</v>
      </c>
      <c r="C77">
        <v>226540.5</v>
      </c>
      <c r="D77">
        <v>23953536</v>
      </c>
      <c r="E77" t="e">
        <v>#N/A</v>
      </c>
      <c r="F77" t="e">
        <v>#N/A</v>
      </c>
      <c r="G77" t="e">
        <v>#N/A</v>
      </c>
      <c r="H77">
        <v>0</v>
      </c>
      <c r="I77">
        <v>18</v>
      </c>
    </row>
    <row r="78" spans="1:9" x14ac:dyDescent="0.3">
      <c r="A78" s="8">
        <v>43954</v>
      </c>
      <c r="B78" t="s">
        <v>22</v>
      </c>
      <c r="C78">
        <v>248148</v>
      </c>
      <c r="D78">
        <v>25519072.5</v>
      </c>
      <c r="E78" t="e">
        <v>#N/A</v>
      </c>
      <c r="F78" t="e">
        <v>#N/A</v>
      </c>
      <c r="G78" t="e">
        <v>#N/A</v>
      </c>
      <c r="H78">
        <v>0</v>
      </c>
      <c r="I78">
        <v>18</v>
      </c>
    </row>
    <row r="79" spans="1:9" x14ac:dyDescent="0.3">
      <c r="A79" s="8">
        <v>43951</v>
      </c>
      <c r="B79" t="s">
        <v>22</v>
      </c>
      <c r="C79">
        <v>206038.5</v>
      </c>
      <c r="D79">
        <v>21740460</v>
      </c>
      <c r="E79" t="e">
        <v>#N/A</v>
      </c>
      <c r="F79" t="e">
        <v>#N/A</v>
      </c>
      <c r="G79" t="e">
        <v>#N/A</v>
      </c>
      <c r="H79">
        <v>0</v>
      </c>
      <c r="I79">
        <v>18</v>
      </c>
    </row>
    <row r="80" spans="1:9" x14ac:dyDescent="0.3">
      <c r="A80" s="8">
        <v>43950</v>
      </c>
      <c r="B80" t="s">
        <v>23</v>
      </c>
      <c r="C80">
        <v>12250.5</v>
      </c>
      <c r="D80">
        <v>981519</v>
      </c>
      <c r="E80" t="e">
        <v>#N/A</v>
      </c>
      <c r="F80" t="e">
        <v>#N/A</v>
      </c>
      <c r="G80" t="e">
        <v>#N/A</v>
      </c>
      <c r="H80">
        <v>0</v>
      </c>
      <c r="I80">
        <v>18</v>
      </c>
    </row>
    <row r="81" spans="1:9" x14ac:dyDescent="0.3">
      <c r="A81" s="8">
        <v>43949</v>
      </c>
      <c r="B81" t="s">
        <v>23</v>
      </c>
      <c r="C81">
        <v>12541.5</v>
      </c>
      <c r="D81">
        <v>992541</v>
      </c>
      <c r="E81" t="e">
        <v>#N/A</v>
      </c>
      <c r="F81" t="e">
        <v>#N/A</v>
      </c>
      <c r="G81" t="e">
        <v>#N/A</v>
      </c>
      <c r="H81">
        <v>0</v>
      </c>
      <c r="I81">
        <v>18</v>
      </c>
    </row>
    <row r="82" spans="1:9" x14ac:dyDescent="0.3">
      <c r="A82" s="8">
        <v>43953</v>
      </c>
      <c r="B82" t="s">
        <v>23</v>
      </c>
      <c r="C82">
        <v>10018.5</v>
      </c>
      <c r="D82">
        <v>816859.5</v>
      </c>
      <c r="E82" t="e">
        <v>#N/A</v>
      </c>
      <c r="F82" t="e">
        <v>#N/A</v>
      </c>
      <c r="G82" t="e">
        <v>#N/A</v>
      </c>
      <c r="H82">
        <v>0</v>
      </c>
      <c r="I82">
        <v>18</v>
      </c>
    </row>
    <row r="83" spans="1:9" x14ac:dyDescent="0.3">
      <c r="A83" s="8">
        <v>43952</v>
      </c>
      <c r="B83" t="s">
        <v>23</v>
      </c>
      <c r="C83">
        <v>13644</v>
      </c>
      <c r="D83">
        <v>1134444</v>
      </c>
      <c r="E83" t="e">
        <v>#N/A</v>
      </c>
      <c r="F83" t="e">
        <v>#N/A</v>
      </c>
      <c r="G83" t="e">
        <v>#N/A</v>
      </c>
      <c r="H83">
        <v>0</v>
      </c>
      <c r="I83">
        <v>18</v>
      </c>
    </row>
    <row r="84" spans="1:9" x14ac:dyDescent="0.3">
      <c r="A84" s="8">
        <v>43954</v>
      </c>
      <c r="B84" t="s">
        <v>23</v>
      </c>
      <c r="C84">
        <v>10032</v>
      </c>
      <c r="D84">
        <v>816150</v>
      </c>
      <c r="E84" t="e">
        <v>#N/A</v>
      </c>
      <c r="F84" t="e">
        <v>#N/A</v>
      </c>
      <c r="G84" t="e">
        <v>#N/A</v>
      </c>
      <c r="H84">
        <v>0</v>
      </c>
      <c r="I84">
        <v>18</v>
      </c>
    </row>
    <row r="85" spans="1:9" x14ac:dyDescent="0.3">
      <c r="A85" s="8">
        <v>43951</v>
      </c>
      <c r="B85" t="s">
        <v>23</v>
      </c>
      <c r="C85">
        <v>11976</v>
      </c>
      <c r="D85">
        <v>1004511</v>
      </c>
      <c r="E85" t="e">
        <v>#N/A</v>
      </c>
      <c r="F85" t="e">
        <v>#N/A</v>
      </c>
      <c r="G85" t="e">
        <v>#N/A</v>
      </c>
      <c r="H85">
        <v>0</v>
      </c>
      <c r="I85">
        <v>18</v>
      </c>
    </row>
    <row r="86" spans="1:9" x14ac:dyDescent="0.3">
      <c r="A86" s="8">
        <v>43960</v>
      </c>
      <c r="B86" t="s">
        <v>10</v>
      </c>
      <c r="C86">
        <v>31147.5</v>
      </c>
      <c r="D86">
        <v>2831019</v>
      </c>
      <c r="E86">
        <v>21</v>
      </c>
      <c r="F86">
        <v>1735</v>
      </c>
      <c r="G86">
        <v>1568</v>
      </c>
      <c r="H86">
        <v>134810.42857142858</v>
      </c>
      <c r="I86">
        <v>19</v>
      </c>
    </row>
    <row r="87" spans="1:9" x14ac:dyDescent="0.3">
      <c r="A87" s="8">
        <v>43955</v>
      </c>
      <c r="B87" t="s">
        <v>10</v>
      </c>
      <c r="C87">
        <v>25566</v>
      </c>
      <c r="D87">
        <v>2372310</v>
      </c>
      <c r="E87">
        <v>20</v>
      </c>
      <c r="F87">
        <v>1519</v>
      </c>
      <c r="G87">
        <v>1372</v>
      </c>
      <c r="H87">
        <v>118615.5</v>
      </c>
      <c r="I87">
        <v>19</v>
      </c>
    </row>
    <row r="88" spans="1:9" x14ac:dyDescent="0.3">
      <c r="A88" s="8">
        <v>43956</v>
      </c>
      <c r="B88" t="s">
        <v>10</v>
      </c>
      <c r="C88">
        <v>31566</v>
      </c>
      <c r="D88">
        <v>2906763</v>
      </c>
      <c r="E88">
        <v>20</v>
      </c>
      <c r="F88">
        <v>1773</v>
      </c>
      <c r="G88">
        <v>1604</v>
      </c>
      <c r="H88">
        <v>145338.15</v>
      </c>
      <c r="I88">
        <v>19</v>
      </c>
    </row>
    <row r="89" spans="1:9" x14ac:dyDescent="0.3">
      <c r="A89" s="8">
        <v>43957</v>
      </c>
      <c r="B89" t="s">
        <v>10</v>
      </c>
      <c r="C89">
        <v>32511</v>
      </c>
      <c r="D89">
        <v>2938623</v>
      </c>
      <c r="E89">
        <v>20</v>
      </c>
      <c r="F89">
        <v>1784</v>
      </c>
      <c r="G89">
        <v>1632</v>
      </c>
      <c r="H89">
        <v>146931.15</v>
      </c>
      <c r="I89">
        <v>19</v>
      </c>
    </row>
    <row r="90" spans="1:9" x14ac:dyDescent="0.3">
      <c r="A90" s="8">
        <v>43961</v>
      </c>
      <c r="B90" t="s">
        <v>10</v>
      </c>
      <c r="C90">
        <v>36619.5</v>
      </c>
      <c r="D90">
        <v>3312967.5</v>
      </c>
      <c r="E90">
        <v>21</v>
      </c>
      <c r="F90">
        <v>2016</v>
      </c>
      <c r="G90">
        <v>1846</v>
      </c>
      <c r="H90">
        <v>157760.35714285713</v>
      </c>
      <c r="I90">
        <v>19</v>
      </c>
    </row>
    <row r="91" spans="1:9" x14ac:dyDescent="0.3">
      <c r="A91" s="8">
        <v>43959</v>
      </c>
      <c r="B91" t="s">
        <v>10</v>
      </c>
      <c r="C91">
        <v>29409</v>
      </c>
      <c r="D91">
        <v>2645160</v>
      </c>
      <c r="E91">
        <v>21</v>
      </c>
      <c r="F91">
        <v>1646</v>
      </c>
      <c r="G91">
        <v>1492</v>
      </c>
      <c r="H91">
        <v>125960</v>
      </c>
      <c r="I91">
        <v>19</v>
      </c>
    </row>
    <row r="92" spans="1:9" x14ac:dyDescent="0.3">
      <c r="A92" s="8">
        <v>43958</v>
      </c>
      <c r="B92" t="s">
        <v>10</v>
      </c>
      <c r="C92">
        <v>27018</v>
      </c>
      <c r="D92">
        <v>2472213</v>
      </c>
      <c r="E92">
        <v>21</v>
      </c>
      <c r="F92">
        <v>1542</v>
      </c>
      <c r="G92">
        <v>1405</v>
      </c>
      <c r="H92">
        <v>117724.42857142857</v>
      </c>
      <c r="I92">
        <v>19</v>
      </c>
    </row>
    <row r="93" spans="1:9" x14ac:dyDescent="0.3">
      <c r="A93" s="8">
        <v>43960</v>
      </c>
      <c r="B93" t="s">
        <v>11</v>
      </c>
      <c r="C93">
        <v>69720</v>
      </c>
      <c r="D93">
        <v>6264933</v>
      </c>
      <c r="E93">
        <v>31</v>
      </c>
      <c r="F93">
        <v>4556</v>
      </c>
      <c r="G93">
        <v>4220</v>
      </c>
      <c r="H93">
        <v>202094.61290322582</v>
      </c>
      <c r="I93">
        <v>19</v>
      </c>
    </row>
    <row r="94" spans="1:9" x14ac:dyDescent="0.3">
      <c r="A94" s="8">
        <v>43955</v>
      </c>
      <c r="B94" t="s">
        <v>11</v>
      </c>
      <c r="C94">
        <v>72928.5</v>
      </c>
      <c r="D94">
        <v>6642249</v>
      </c>
      <c r="E94">
        <v>31</v>
      </c>
      <c r="F94">
        <v>4968</v>
      </c>
      <c r="G94">
        <v>4596</v>
      </c>
      <c r="H94">
        <v>214266.09677419355</v>
      </c>
      <c r="I94">
        <v>19</v>
      </c>
    </row>
    <row r="95" spans="1:9" x14ac:dyDescent="0.3">
      <c r="A95" s="8">
        <v>43956</v>
      </c>
      <c r="B95" t="s">
        <v>11</v>
      </c>
      <c r="C95">
        <v>76585.5</v>
      </c>
      <c r="D95">
        <v>6921316.5</v>
      </c>
      <c r="E95">
        <v>31</v>
      </c>
      <c r="F95">
        <v>5188</v>
      </c>
      <c r="G95">
        <v>4800</v>
      </c>
      <c r="H95">
        <v>223268.27419354839</v>
      </c>
      <c r="I95">
        <v>19</v>
      </c>
    </row>
    <row r="96" spans="1:9" x14ac:dyDescent="0.3">
      <c r="A96" s="8">
        <v>43957</v>
      </c>
      <c r="B96" t="s">
        <v>11</v>
      </c>
      <c r="C96">
        <v>68994</v>
      </c>
      <c r="D96">
        <v>6168657</v>
      </c>
      <c r="E96">
        <v>31</v>
      </c>
      <c r="F96">
        <v>4709</v>
      </c>
      <c r="G96">
        <v>4348</v>
      </c>
      <c r="H96">
        <v>198988.93548387097</v>
      </c>
      <c r="I96">
        <v>19</v>
      </c>
    </row>
    <row r="97" spans="1:9" x14ac:dyDescent="0.3">
      <c r="A97" s="8">
        <v>43961</v>
      </c>
      <c r="B97" t="s">
        <v>11</v>
      </c>
      <c r="C97">
        <v>84132</v>
      </c>
      <c r="D97">
        <v>7483194</v>
      </c>
      <c r="E97">
        <v>31</v>
      </c>
      <c r="F97">
        <v>5495</v>
      </c>
      <c r="G97">
        <v>5093</v>
      </c>
      <c r="H97">
        <v>241393.35483870967</v>
      </c>
      <c r="I97">
        <v>19</v>
      </c>
    </row>
    <row r="98" spans="1:9" x14ac:dyDescent="0.3">
      <c r="A98" s="8">
        <v>43959</v>
      </c>
      <c r="B98" t="s">
        <v>11</v>
      </c>
      <c r="C98">
        <v>69544.5</v>
      </c>
      <c r="D98">
        <v>6293776.5</v>
      </c>
      <c r="E98">
        <v>31</v>
      </c>
      <c r="F98">
        <v>4635</v>
      </c>
      <c r="G98">
        <v>4266</v>
      </c>
      <c r="H98">
        <v>203025.04838709679</v>
      </c>
      <c r="I98">
        <v>19</v>
      </c>
    </row>
    <row r="99" spans="1:9" x14ac:dyDescent="0.3">
      <c r="A99" s="8">
        <v>43958</v>
      </c>
      <c r="B99" t="s">
        <v>11</v>
      </c>
      <c r="C99">
        <v>73204.5</v>
      </c>
      <c r="D99">
        <v>6591883.5</v>
      </c>
      <c r="E99">
        <v>31</v>
      </c>
      <c r="F99">
        <v>4903</v>
      </c>
      <c r="G99">
        <v>4527</v>
      </c>
      <c r="H99">
        <v>212641.40322580645</v>
      </c>
      <c r="I99">
        <v>19</v>
      </c>
    </row>
    <row r="100" spans="1:9" x14ac:dyDescent="0.3">
      <c r="A100" s="8">
        <v>43960</v>
      </c>
      <c r="B100" t="s">
        <v>12</v>
      </c>
      <c r="C100">
        <v>13216.5</v>
      </c>
      <c r="D100">
        <v>1046400</v>
      </c>
      <c r="E100">
        <v>10</v>
      </c>
      <c r="F100">
        <v>644</v>
      </c>
      <c r="G100">
        <v>559</v>
      </c>
      <c r="H100">
        <v>104640</v>
      </c>
      <c r="I100">
        <v>19</v>
      </c>
    </row>
    <row r="101" spans="1:9" x14ac:dyDescent="0.3">
      <c r="A101" s="8">
        <v>43955</v>
      </c>
      <c r="B101" t="s">
        <v>12</v>
      </c>
      <c r="C101">
        <v>9130.5</v>
      </c>
      <c r="D101">
        <v>728890.5</v>
      </c>
      <c r="E101">
        <v>10</v>
      </c>
      <c r="F101">
        <v>462</v>
      </c>
      <c r="G101">
        <v>396</v>
      </c>
      <c r="H101">
        <v>72889.05</v>
      </c>
      <c r="I101">
        <v>19</v>
      </c>
    </row>
    <row r="102" spans="1:9" x14ac:dyDescent="0.3">
      <c r="A102" s="8">
        <v>43956</v>
      </c>
      <c r="B102" t="s">
        <v>12</v>
      </c>
      <c r="C102">
        <v>10147.5</v>
      </c>
      <c r="D102">
        <v>793320</v>
      </c>
      <c r="E102">
        <v>10</v>
      </c>
      <c r="F102">
        <v>511</v>
      </c>
      <c r="G102">
        <v>437</v>
      </c>
      <c r="H102">
        <v>79332</v>
      </c>
      <c r="I102">
        <v>19</v>
      </c>
    </row>
    <row r="103" spans="1:9" x14ac:dyDescent="0.3">
      <c r="A103" s="8">
        <v>43957</v>
      </c>
      <c r="B103" t="s">
        <v>12</v>
      </c>
      <c r="C103">
        <v>9210</v>
      </c>
      <c r="D103">
        <v>696832.5</v>
      </c>
      <c r="E103">
        <v>10</v>
      </c>
      <c r="F103">
        <v>465</v>
      </c>
      <c r="G103">
        <v>390</v>
      </c>
      <c r="H103">
        <v>69683.25</v>
      </c>
      <c r="I103">
        <v>19</v>
      </c>
    </row>
    <row r="104" spans="1:9" x14ac:dyDescent="0.3">
      <c r="A104" s="8">
        <v>43961</v>
      </c>
      <c r="B104" t="s">
        <v>12</v>
      </c>
      <c r="C104">
        <v>12918</v>
      </c>
      <c r="D104">
        <v>1004788.5</v>
      </c>
      <c r="E104">
        <v>10</v>
      </c>
      <c r="F104">
        <v>642</v>
      </c>
      <c r="G104">
        <v>556</v>
      </c>
      <c r="H104">
        <v>100478.85</v>
      </c>
      <c r="I104">
        <v>19</v>
      </c>
    </row>
    <row r="105" spans="1:9" x14ac:dyDescent="0.3">
      <c r="A105" s="8">
        <v>43959</v>
      </c>
      <c r="B105" t="s">
        <v>12</v>
      </c>
      <c r="C105">
        <v>12528</v>
      </c>
      <c r="D105">
        <v>959703</v>
      </c>
      <c r="E105">
        <v>10</v>
      </c>
      <c r="F105">
        <v>638</v>
      </c>
      <c r="G105">
        <v>547</v>
      </c>
      <c r="H105">
        <v>95970.3</v>
      </c>
      <c r="I105">
        <v>19</v>
      </c>
    </row>
    <row r="106" spans="1:9" x14ac:dyDescent="0.3">
      <c r="A106" s="8">
        <v>43958</v>
      </c>
      <c r="B106" t="s">
        <v>12</v>
      </c>
      <c r="C106">
        <v>11029.5</v>
      </c>
      <c r="D106">
        <v>863754</v>
      </c>
      <c r="E106">
        <v>10</v>
      </c>
      <c r="F106">
        <v>563</v>
      </c>
      <c r="G106">
        <v>486</v>
      </c>
      <c r="H106">
        <v>86375.4</v>
      </c>
      <c r="I106">
        <v>19</v>
      </c>
    </row>
    <row r="107" spans="1:9" x14ac:dyDescent="0.3">
      <c r="A107" s="8">
        <v>43960</v>
      </c>
      <c r="B107" t="s">
        <v>13</v>
      </c>
      <c r="C107">
        <v>32079</v>
      </c>
      <c r="D107">
        <v>2902167</v>
      </c>
      <c r="E107">
        <v>19</v>
      </c>
      <c r="F107">
        <v>1851</v>
      </c>
      <c r="G107">
        <v>1635</v>
      </c>
      <c r="H107">
        <v>152745.63157894736</v>
      </c>
      <c r="I107">
        <v>19</v>
      </c>
    </row>
    <row r="108" spans="1:9" x14ac:dyDescent="0.3">
      <c r="A108" s="8">
        <v>43955</v>
      </c>
      <c r="B108" t="s">
        <v>13</v>
      </c>
      <c r="C108">
        <v>27072</v>
      </c>
      <c r="D108">
        <v>2450968.5</v>
      </c>
      <c r="E108">
        <v>19</v>
      </c>
      <c r="F108">
        <v>1582</v>
      </c>
      <c r="G108">
        <v>1403</v>
      </c>
      <c r="H108">
        <v>128998.34210526316</v>
      </c>
      <c r="I108">
        <v>19</v>
      </c>
    </row>
    <row r="109" spans="1:9" x14ac:dyDescent="0.3">
      <c r="A109" s="8">
        <v>43956</v>
      </c>
      <c r="B109" t="s">
        <v>13</v>
      </c>
      <c r="C109">
        <v>22848</v>
      </c>
      <c r="D109">
        <v>2079900</v>
      </c>
      <c r="E109">
        <v>19</v>
      </c>
      <c r="F109">
        <v>1417</v>
      </c>
      <c r="G109">
        <v>1245</v>
      </c>
      <c r="H109">
        <v>109468.42105263157</v>
      </c>
      <c r="I109">
        <v>19</v>
      </c>
    </row>
    <row r="110" spans="1:9" x14ac:dyDescent="0.3">
      <c r="A110" s="8">
        <v>43957</v>
      </c>
      <c r="B110" t="s">
        <v>13</v>
      </c>
      <c r="C110">
        <v>24678</v>
      </c>
      <c r="D110">
        <v>2232519</v>
      </c>
      <c r="E110">
        <v>19</v>
      </c>
      <c r="F110">
        <v>1499</v>
      </c>
      <c r="G110">
        <v>1323</v>
      </c>
      <c r="H110">
        <v>117501</v>
      </c>
      <c r="I110">
        <v>19</v>
      </c>
    </row>
    <row r="111" spans="1:9" x14ac:dyDescent="0.3">
      <c r="A111" s="8">
        <v>43961</v>
      </c>
      <c r="B111" t="s">
        <v>13</v>
      </c>
      <c r="C111">
        <v>31399.5</v>
      </c>
      <c r="D111">
        <v>2862298.5</v>
      </c>
      <c r="E111">
        <v>19</v>
      </c>
      <c r="F111">
        <v>1848</v>
      </c>
      <c r="G111">
        <v>1649</v>
      </c>
      <c r="H111">
        <v>150647.28947368421</v>
      </c>
      <c r="I111">
        <v>19</v>
      </c>
    </row>
    <row r="112" spans="1:9" x14ac:dyDescent="0.3">
      <c r="A112" s="8">
        <v>43959</v>
      </c>
      <c r="B112" t="s">
        <v>13</v>
      </c>
      <c r="C112">
        <v>25294.5</v>
      </c>
      <c r="D112">
        <v>2271454.5</v>
      </c>
      <c r="E112">
        <v>19</v>
      </c>
      <c r="F112">
        <v>1522</v>
      </c>
      <c r="G112">
        <v>1340</v>
      </c>
      <c r="H112">
        <v>119550.23684210527</v>
      </c>
      <c r="I112">
        <v>19</v>
      </c>
    </row>
    <row r="113" spans="1:9" x14ac:dyDescent="0.3">
      <c r="A113" s="8">
        <v>43958</v>
      </c>
      <c r="B113" t="s">
        <v>13</v>
      </c>
      <c r="C113">
        <v>25468.5</v>
      </c>
      <c r="D113">
        <v>2350672.5</v>
      </c>
      <c r="E113">
        <v>19</v>
      </c>
      <c r="F113">
        <v>1530</v>
      </c>
      <c r="G113">
        <v>1338</v>
      </c>
      <c r="H113">
        <v>123719.60526315789</v>
      </c>
      <c r="I113">
        <v>19</v>
      </c>
    </row>
    <row r="114" spans="1:9" x14ac:dyDescent="0.3">
      <c r="A114" s="8">
        <v>43960</v>
      </c>
      <c r="B114" t="s">
        <v>14</v>
      </c>
      <c r="C114">
        <v>285972</v>
      </c>
      <c r="D114">
        <v>29768199</v>
      </c>
      <c r="E114">
        <v>129</v>
      </c>
      <c r="F114">
        <v>16420</v>
      </c>
      <c r="G114">
        <v>15169</v>
      </c>
      <c r="H114">
        <v>230761.23255813954</v>
      </c>
      <c r="I114">
        <v>19</v>
      </c>
    </row>
    <row r="115" spans="1:9" x14ac:dyDescent="0.3">
      <c r="A115" s="8">
        <v>43955</v>
      </c>
      <c r="B115" t="s">
        <v>14</v>
      </c>
      <c r="C115">
        <v>283942.5</v>
      </c>
      <c r="D115">
        <v>29357940</v>
      </c>
      <c r="E115" t="e">
        <v>#N/A</v>
      </c>
      <c r="F115" t="e">
        <v>#N/A</v>
      </c>
      <c r="G115" t="e">
        <v>#N/A</v>
      </c>
      <c r="H115">
        <v>0</v>
      </c>
      <c r="I115">
        <v>19</v>
      </c>
    </row>
    <row r="116" spans="1:9" x14ac:dyDescent="0.3">
      <c r="A116" s="8">
        <v>43956</v>
      </c>
      <c r="B116" t="s">
        <v>14</v>
      </c>
      <c r="C116">
        <v>262734</v>
      </c>
      <c r="D116">
        <v>27278441.145</v>
      </c>
      <c r="E116" t="e">
        <v>#N/A</v>
      </c>
      <c r="F116" t="e">
        <v>#N/A</v>
      </c>
      <c r="G116" t="e">
        <v>#N/A</v>
      </c>
      <c r="H116">
        <v>0</v>
      </c>
      <c r="I116">
        <v>19</v>
      </c>
    </row>
    <row r="117" spans="1:9" x14ac:dyDescent="0.3">
      <c r="A117" s="8">
        <v>43957</v>
      </c>
      <c r="B117" t="s">
        <v>14</v>
      </c>
      <c r="C117">
        <v>277512</v>
      </c>
      <c r="D117">
        <v>28770810.105599999</v>
      </c>
      <c r="E117" t="e">
        <v>#N/A</v>
      </c>
      <c r="F117" t="e">
        <v>#N/A</v>
      </c>
      <c r="G117" t="e">
        <v>#N/A</v>
      </c>
      <c r="H117">
        <v>0</v>
      </c>
      <c r="I117">
        <v>19</v>
      </c>
    </row>
    <row r="118" spans="1:9" x14ac:dyDescent="0.3">
      <c r="A118" s="8">
        <v>43961</v>
      </c>
      <c r="B118" t="s">
        <v>14</v>
      </c>
      <c r="C118">
        <v>287206.5</v>
      </c>
      <c r="D118">
        <v>29536176.10605</v>
      </c>
      <c r="E118">
        <v>129</v>
      </c>
      <c r="F118">
        <v>16437</v>
      </c>
      <c r="G118">
        <v>15285</v>
      </c>
      <c r="H118">
        <v>228962.6054732558</v>
      </c>
      <c r="I118">
        <v>19</v>
      </c>
    </row>
    <row r="119" spans="1:9" x14ac:dyDescent="0.3">
      <c r="A119" s="8">
        <v>43959</v>
      </c>
      <c r="B119" t="s">
        <v>14</v>
      </c>
      <c r="C119">
        <v>370092</v>
      </c>
      <c r="D119">
        <v>38091556.5</v>
      </c>
      <c r="E119">
        <v>129</v>
      </c>
      <c r="F119">
        <v>20452</v>
      </c>
      <c r="G119">
        <v>18857</v>
      </c>
      <c r="H119">
        <v>295283.38372093026</v>
      </c>
      <c r="I119">
        <v>19</v>
      </c>
    </row>
    <row r="120" spans="1:9" x14ac:dyDescent="0.3">
      <c r="A120" s="8">
        <v>43958</v>
      </c>
      <c r="B120" t="s">
        <v>14</v>
      </c>
      <c r="C120">
        <v>247813.5</v>
      </c>
      <c r="D120">
        <v>25325271</v>
      </c>
      <c r="E120">
        <v>129</v>
      </c>
      <c r="F120">
        <v>14582</v>
      </c>
      <c r="G120">
        <v>13512</v>
      </c>
      <c r="H120">
        <v>196319.93023255814</v>
      </c>
      <c r="I120">
        <v>19</v>
      </c>
    </row>
    <row r="121" spans="1:9" x14ac:dyDescent="0.3">
      <c r="A121" s="8">
        <v>43960</v>
      </c>
      <c r="B121" t="s">
        <v>15</v>
      </c>
      <c r="C121">
        <v>359214</v>
      </c>
      <c r="D121">
        <v>38693427</v>
      </c>
      <c r="E121">
        <v>125</v>
      </c>
      <c r="F121">
        <v>20132</v>
      </c>
      <c r="G121">
        <v>18617</v>
      </c>
      <c r="H121">
        <v>309547.41600000003</v>
      </c>
      <c r="I121">
        <v>19</v>
      </c>
    </row>
    <row r="122" spans="1:9" x14ac:dyDescent="0.3">
      <c r="A122" s="8">
        <v>43955</v>
      </c>
      <c r="B122" t="s">
        <v>15</v>
      </c>
      <c r="C122">
        <v>360255</v>
      </c>
      <c r="D122">
        <v>38406954</v>
      </c>
      <c r="E122" t="e">
        <v>#N/A</v>
      </c>
      <c r="F122" t="e">
        <v>#N/A</v>
      </c>
      <c r="G122" t="e">
        <v>#N/A</v>
      </c>
      <c r="H122">
        <v>0</v>
      </c>
      <c r="I122">
        <v>19</v>
      </c>
    </row>
    <row r="123" spans="1:9" x14ac:dyDescent="0.3">
      <c r="A123" s="8">
        <v>43956</v>
      </c>
      <c r="B123" t="s">
        <v>15</v>
      </c>
      <c r="C123">
        <v>333792</v>
      </c>
      <c r="D123">
        <v>35671734</v>
      </c>
      <c r="E123" t="e">
        <v>#N/A</v>
      </c>
      <c r="F123" t="e">
        <v>#N/A</v>
      </c>
      <c r="G123" t="e">
        <v>#N/A</v>
      </c>
      <c r="H123">
        <v>0</v>
      </c>
      <c r="I123">
        <v>19</v>
      </c>
    </row>
    <row r="124" spans="1:9" x14ac:dyDescent="0.3">
      <c r="A124" s="8">
        <v>43957</v>
      </c>
      <c r="B124" t="s">
        <v>15</v>
      </c>
      <c r="C124">
        <v>355278</v>
      </c>
      <c r="D124">
        <v>38092344</v>
      </c>
      <c r="E124" t="e">
        <v>#N/A</v>
      </c>
      <c r="F124" t="e">
        <v>#N/A</v>
      </c>
      <c r="G124" t="e">
        <v>#N/A</v>
      </c>
      <c r="H124">
        <v>0</v>
      </c>
      <c r="I124">
        <v>19</v>
      </c>
    </row>
    <row r="125" spans="1:9" x14ac:dyDescent="0.3">
      <c r="A125" s="8">
        <v>43961</v>
      </c>
      <c r="B125" t="s">
        <v>15</v>
      </c>
      <c r="C125">
        <v>368649</v>
      </c>
      <c r="D125">
        <v>39010875</v>
      </c>
      <c r="E125">
        <v>125</v>
      </c>
      <c r="F125">
        <v>20368</v>
      </c>
      <c r="G125">
        <v>18884</v>
      </c>
      <c r="H125">
        <v>312087</v>
      </c>
      <c r="I125">
        <v>19</v>
      </c>
    </row>
    <row r="126" spans="1:9" x14ac:dyDescent="0.3">
      <c r="A126" s="8">
        <v>43959</v>
      </c>
      <c r="B126" t="s">
        <v>15</v>
      </c>
      <c r="C126">
        <v>463530</v>
      </c>
      <c r="D126">
        <v>49123180.5</v>
      </c>
      <c r="E126" t="e">
        <v>#N/A</v>
      </c>
      <c r="F126" t="e">
        <v>#N/A</v>
      </c>
      <c r="G126" t="e">
        <v>#N/A</v>
      </c>
      <c r="H126">
        <v>0</v>
      </c>
      <c r="I126">
        <v>19</v>
      </c>
    </row>
    <row r="127" spans="1:9" x14ac:dyDescent="0.3">
      <c r="A127" s="8">
        <v>43958</v>
      </c>
      <c r="B127" t="s">
        <v>15</v>
      </c>
      <c r="C127">
        <v>319110</v>
      </c>
      <c r="D127">
        <v>33763989</v>
      </c>
      <c r="E127" t="e">
        <v>#N/A</v>
      </c>
      <c r="F127" t="e">
        <v>#N/A</v>
      </c>
      <c r="G127" t="e">
        <v>#N/A</v>
      </c>
      <c r="H127">
        <v>0</v>
      </c>
      <c r="I127">
        <v>19</v>
      </c>
    </row>
    <row r="128" spans="1:9" x14ac:dyDescent="0.3">
      <c r="A128" s="8">
        <v>43960</v>
      </c>
      <c r="B128" t="s">
        <v>16</v>
      </c>
      <c r="C128">
        <v>83373</v>
      </c>
      <c r="D128">
        <v>7253427</v>
      </c>
      <c r="E128" t="e">
        <v>#N/A</v>
      </c>
      <c r="F128" t="e">
        <v>#N/A</v>
      </c>
      <c r="G128" t="e">
        <v>#N/A</v>
      </c>
      <c r="H128">
        <v>0</v>
      </c>
      <c r="I128">
        <v>19</v>
      </c>
    </row>
    <row r="129" spans="1:9" x14ac:dyDescent="0.3">
      <c r="A129" s="8">
        <v>43955</v>
      </c>
      <c r="B129" t="s">
        <v>16</v>
      </c>
      <c r="C129">
        <v>64108.5</v>
      </c>
      <c r="D129">
        <v>5561452.5</v>
      </c>
      <c r="E129" t="e">
        <v>#N/A</v>
      </c>
      <c r="F129" t="e">
        <v>#N/A</v>
      </c>
      <c r="G129" t="e">
        <v>#N/A</v>
      </c>
      <c r="H129">
        <v>0</v>
      </c>
      <c r="I129">
        <v>19</v>
      </c>
    </row>
    <row r="130" spans="1:9" x14ac:dyDescent="0.3">
      <c r="A130" s="8">
        <v>43956</v>
      </c>
      <c r="B130" t="s">
        <v>16</v>
      </c>
      <c r="C130">
        <v>66396</v>
      </c>
      <c r="D130">
        <v>5770539</v>
      </c>
      <c r="E130" t="e">
        <v>#N/A</v>
      </c>
      <c r="F130" t="e">
        <v>#N/A</v>
      </c>
      <c r="G130" t="e">
        <v>#N/A</v>
      </c>
      <c r="H130">
        <v>0</v>
      </c>
      <c r="I130">
        <v>19</v>
      </c>
    </row>
    <row r="131" spans="1:9" x14ac:dyDescent="0.3">
      <c r="A131" s="8">
        <v>43957</v>
      </c>
      <c r="B131" t="s">
        <v>16</v>
      </c>
      <c r="C131">
        <v>63012</v>
      </c>
      <c r="D131">
        <v>5454121.5</v>
      </c>
      <c r="E131" t="e">
        <v>#N/A</v>
      </c>
      <c r="F131" t="e">
        <v>#N/A</v>
      </c>
      <c r="G131" t="e">
        <v>#N/A</v>
      </c>
      <c r="H131">
        <v>0</v>
      </c>
      <c r="I131">
        <v>19</v>
      </c>
    </row>
    <row r="132" spans="1:9" x14ac:dyDescent="0.3">
      <c r="A132" s="8">
        <v>43961</v>
      </c>
      <c r="B132" t="s">
        <v>16</v>
      </c>
      <c r="C132">
        <v>88311</v>
      </c>
      <c r="D132">
        <v>7726069.5</v>
      </c>
      <c r="E132" t="e">
        <v>#N/A</v>
      </c>
      <c r="F132" t="e">
        <v>#N/A</v>
      </c>
      <c r="G132" t="e">
        <v>#N/A</v>
      </c>
      <c r="H132">
        <v>0</v>
      </c>
      <c r="I132">
        <v>19</v>
      </c>
    </row>
    <row r="133" spans="1:9" x14ac:dyDescent="0.3">
      <c r="A133" s="8">
        <v>43959</v>
      </c>
      <c r="B133" t="s">
        <v>16</v>
      </c>
      <c r="C133">
        <v>61804.5</v>
      </c>
      <c r="D133">
        <v>5365708.5</v>
      </c>
      <c r="E133" t="e">
        <v>#N/A</v>
      </c>
      <c r="F133" t="e">
        <v>#N/A</v>
      </c>
      <c r="G133" t="e">
        <v>#N/A</v>
      </c>
      <c r="H133">
        <v>0</v>
      </c>
      <c r="I133">
        <v>19</v>
      </c>
    </row>
    <row r="134" spans="1:9" x14ac:dyDescent="0.3">
      <c r="A134" s="8">
        <v>43958</v>
      </c>
      <c r="B134" t="s">
        <v>16</v>
      </c>
      <c r="C134">
        <v>71067</v>
      </c>
      <c r="D134">
        <v>6175837.5</v>
      </c>
      <c r="E134" t="e">
        <v>#N/A</v>
      </c>
      <c r="F134" t="e">
        <v>#N/A</v>
      </c>
      <c r="G134" t="e">
        <v>#N/A</v>
      </c>
      <c r="H134">
        <v>0</v>
      </c>
      <c r="I134">
        <v>19</v>
      </c>
    </row>
    <row r="135" spans="1:9" x14ac:dyDescent="0.3">
      <c r="A135" s="8">
        <v>43960</v>
      </c>
      <c r="B135" t="s">
        <v>17</v>
      </c>
      <c r="C135">
        <v>32239.5</v>
      </c>
      <c r="D135">
        <v>3084892.5</v>
      </c>
      <c r="E135" t="e">
        <v>#N/A</v>
      </c>
      <c r="F135" t="e">
        <v>#N/A</v>
      </c>
      <c r="G135" t="e">
        <v>#N/A</v>
      </c>
      <c r="H135">
        <v>0</v>
      </c>
      <c r="I135">
        <v>19</v>
      </c>
    </row>
    <row r="136" spans="1:9" x14ac:dyDescent="0.3">
      <c r="A136" s="8">
        <v>43955</v>
      </c>
      <c r="B136" t="s">
        <v>17</v>
      </c>
      <c r="C136">
        <v>30780</v>
      </c>
      <c r="D136">
        <v>2817853.5</v>
      </c>
      <c r="E136" t="e">
        <v>#N/A</v>
      </c>
      <c r="F136" t="e">
        <v>#N/A</v>
      </c>
      <c r="G136" t="e">
        <v>#N/A</v>
      </c>
      <c r="H136">
        <v>0</v>
      </c>
      <c r="I136">
        <v>19</v>
      </c>
    </row>
    <row r="137" spans="1:9" x14ac:dyDescent="0.3">
      <c r="A137" s="8">
        <v>43956</v>
      </c>
      <c r="B137" t="s">
        <v>17</v>
      </c>
      <c r="C137">
        <v>29482.5</v>
      </c>
      <c r="D137">
        <v>2648688</v>
      </c>
      <c r="E137" t="e">
        <v>#N/A</v>
      </c>
      <c r="F137" t="e">
        <v>#N/A</v>
      </c>
      <c r="G137" t="e">
        <v>#N/A</v>
      </c>
      <c r="H137">
        <v>0</v>
      </c>
      <c r="I137">
        <v>19</v>
      </c>
    </row>
    <row r="138" spans="1:9" x14ac:dyDescent="0.3">
      <c r="A138" s="8">
        <v>43957</v>
      </c>
      <c r="B138" t="s">
        <v>17</v>
      </c>
      <c r="C138">
        <v>30342</v>
      </c>
      <c r="D138">
        <v>2738127</v>
      </c>
      <c r="E138" t="e">
        <v>#N/A</v>
      </c>
      <c r="F138" t="e">
        <v>#N/A</v>
      </c>
      <c r="G138" t="e">
        <v>#N/A</v>
      </c>
      <c r="H138">
        <v>0</v>
      </c>
      <c r="I138">
        <v>19</v>
      </c>
    </row>
    <row r="139" spans="1:9" x14ac:dyDescent="0.3">
      <c r="A139" s="8">
        <v>43961</v>
      </c>
      <c r="B139" t="s">
        <v>17</v>
      </c>
      <c r="C139">
        <v>37489.5</v>
      </c>
      <c r="D139">
        <v>3549097.5</v>
      </c>
      <c r="E139" t="e">
        <v>#N/A</v>
      </c>
      <c r="F139" t="e">
        <v>#N/A</v>
      </c>
      <c r="G139" t="e">
        <v>#N/A</v>
      </c>
      <c r="H139">
        <v>0</v>
      </c>
      <c r="I139">
        <v>19</v>
      </c>
    </row>
    <row r="140" spans="1:9" x14ac:dyDescent="0.3">
      <c r="A140" s="8">
        <v>43959</v>
      </c>
      <c r="B140" t="s">
        <v>17</v>
      </c>
      <c r="C140">
        <v>34399.5</v>
      </c>
      <c r="D140">
        <v>3201358.5</v>
      </c>
      <c r="E140" t="e">
        <v>#N/A</v>
      </c>
      <c r="F140" t="e">
        <v>#N/A</v>
      </c>
      <c r="G140" t="e">
        <v>#N/A</v>
      </c>
      <c r="H140">
        <v>0</v>
      </c>
      <c r="I140">
        <v>19</v>
      </c>
    </row>
    <row r="141" spans="1:9" x14ac:dyDescent="0.3">
      <c r="A141" s="8">
        <v>43958</v>
      </c>
      <c r="B141" t="s">
        <v>17</v>
      </c>
      <c r="C141">
        <v>32851.5</v>
      </c>
      <c r="D141">
        <v>2934504</v>
      </c>
      <c r="E141" t="e">
        <v>#N/A</v>
      </c>
      <c r="F141" t="e">
        <v>#N/A</v>
      </c>
      <c r="G141" t="e">
        <v>#N/A</v>
      </c>
      <c r="H141">
        <v>0</v>
      </c>
      <c r="I141">
        <v>19</v>
      </c>
    </row>
    <row r="142" spans="1:9" x14ac:dyDescent="0.3">
      <c r="A142" s="8">
        <v>43960</v>
      </c>
      <c r="B142" t="s">
        <v>18</v>
      </c>
      <c r="C142">
        <v>13948.5</v>
      </c>
      <c r="D142">
        <v>1222932</v>
      </c>
      <c r="E142" t="e">
        <v>#N/A</v>
      </c>
      <c r="F142" t="e">
        <v>#N/A</v>
      </c>
      <c r="G142" t="e">
        <v>#N/A</v>
      </c>
      <c r="H142">
        <v>0</v>
      </c>
      <c r="I142">
        <v>19</v>
      </c>
    </row>
    <row r="143" spans="1:9" x14ac:dyDescent="0.3">
      <c r="A143" s="8">
        <v>43955</v>
      </c>
      <c r="B143" t="s">
        <v>18</v>
      </c>
      <c r="C143">
        <v>12301.5</v>
      </c>
      <c r="D143">
        <v>1085211</v>
      </c>
      <c r="E143" t="e">
        <v>#N/A</v>
      </c>
      <c r="F143" t="e">
        <v>#N/A</v>
      </c>
      <c r="G143" t="e">
        <v>#N/A</v>
      </c>
      <c r="H143">
        <v>0</v>
      </c>
      <c r="I143">
        <v>19</v>
      </c>
    </row>
    <row r="144" spans="1:9" x14ac:dyDescent="0.3">
      <c r="A144" s="8">
        <v>43956</v>
      </c>
      <c r="B144" t="s">
        <v>18</v>
      </c>
      <c r="C144">
        <v>15987</v>
      </c>
      <c r="D144">
        <v>1384179</v>
      </c>
      <c r="E144" t="e">
        <v>#N/A</v>
      </c>
      <c r="F144" t="e">
        <v>#N/A</v>
      </c>
      <c r="G144" t="e">
        <v>#N/A</v>
      </c>
      <c r="H144">
        <v>0</v>
      </c>
      <c r="I144">
        <v>19</v>
      </c>
    </row>
    <row r="145" spans="1:9" x14ac:dyDescent="0.3">
      <c r="A145" s="8">
        <v>43957</v>
      </c>
      <c r="B145" t="s">
        <v>18</v>
      </c>
      <c r="C145">
        <v>14061</v>
      </c>
      <c r="D145">
        <v>1221057</v>
      </c>
      <c r="E145" t="e">
        <v>#N/A</v>
      </c>
      <c r="F145" t="e">
        <v>#N/A</v>
      </c>
      <c r="G145" t="e">
        <v>#N/A</v>
      </c>
      <c r="H145">
        <v>0</v>
      </c>
      <c r="I145">
        <v>19</v>
      </c>
    </row>
    <row r="146" spans="1:9" x14ac:dyDescent="0.3">
      <c r="A146" s="8">
        <v>43961</v>
      </c>
      <c r="B146" t="s">
        <v>18</v>
      </c>
      <c r="C146">
        <v>16435.5</v>
      </c>
      <c r="D146">
        <v>1471537.5</v>
      </c>
      <c r="E146" t="e">
        <v>#N/A</v>
      </c>
      <c r="F146" t="e">
        <v>#N/A</v>
      </c>
      <c r="G146" t="e">
        <v>#N/A</v>
      </c>
      <c r="H146">
        <v>0</v>
      </c>
      <c r="I146">
        <v>19</v>
      </c>
    </row>
    <row r="147" spans="1:9" x14ac:dyDescent="0.3">
      <c r="A147" s="8">
        <v>43959</v>
      </c>
      <c r="B147" t="s">
        <v>18</v>
      </c>
      <c r="C147">
        <v>14494.5</v>
      </c>
      <c r="D147">
        <v>1269786</v>
      </c>
      <c r="E147" t="e">
        <v>#N/A</v>
      </c>
      <c r="F147" t="e">
        <v>#N/A</v>
      </c>
      <c r="G147" t="e">
        <v>#N/A</v>
      </c>
      <c r="H147">
        <v>0</v>
      </c>
      <c r="I147">
        <v>19</v>
      </c>
    </row>
    <row r="148" spans="1:9" x14ac:dyDescent="0.3">
      <c r="A148" s="8">
        <v>43958</v>
      </c>
      <c r="B148" t="s">
        <v>18</v>
      </c>
      <c r="C148">
        <v>12705</v>
      </c>
      <c r="D148">
        <v>1123894.5</v>
      </c>
      <c r="E148" t="e">
        <v>#N/A</v>
      </c>
      <c r="F148" t="e">
        <v>#N/A</v>
      </c>
      <c r="G148" t="e">
        <v>#N/A</v>
      </c>
      <c r="H148">
        <v>0</v>
      </c>
      <c r="I148">
        <v>19</v>
      </c>
    </row>
    <row r="149" spans="1:9" x14ac:dyDescent="0.3">
      <c r="A149" s="8">
        <v>43960</v>
      </c>
      <c r="B149" t="s">
        <v>19</v>
      </c>
      <c r="C149">
        <v>12037.5</v>
      </c>
      <c r="D149">
        <v>1081216.5</v>
      </c>
      <c r="E149" t="e">
        <v>#N/A</v>
      </c>
      <c r="F149" t="e">
        <v>#N/A</v>
      </c>
      <c r="G149" t="e">
        <v>#N/A</v>
      </c>
      <c r="H149">
        <v>0</v>
      </c>
      <c r="I149">
        <v>19</v>
      </c>
    </row>
    <row r="150" spans="1:9" x14ac:dyDescent="0.3">
      <c r="A150" s="8">
        <v>43955</v>
      </c>
      <c r="B150" t="s">
        <v>19</v>
      </c>
      <c r="C150">
        <v>7087.5</v>
      </c>
      <c r="D150">
        <v>610855.5</v>
      </c>
      <c r="E150" t="e">
        <v>#N/A</v>
      </c>
      <c r="F150" t="e">
        <v>#N/A</v>
      </c>
      <c r="G150" t="e">
        <v>#N/A</v>
      </c>
      <c r="H150">
        <v>0</v>
      </c>
      <c r="I150">
        <v>19</v>
      </c>
    </row>
    <row r="151" spans="1:9" x14ac:dyDescent="0.3">
      <c r="A151" s="8">
        <v>43956</v>
      </c>
      <c r="B151" t="s">
        <v>19</v>
      </c>
      <c r="C151">
        <v>8223</v>
      </c>
      <c r="D151">
        <v>694593</v>
      </c>
      <c r="E151" t="e">
        <v>#N/A</v>
      </c>
      <c r="F151" t="e">
        <v>#N/A</v>
      </c>
      <c r="G151" t="e">
        <v>#N/A</v>
      </c>
      <c r="H151">
        <v>0</v>
      </c>
      <c r="I151">
        <v>19</v>
      </c>
    </row>
    <row r="152" spans="1:9" x14ac:dyDescent="0.3">
      <c r="A152" s="8">
        <v>43957</v>
      </c>
      <c r="B152" t="s">
        <v>19</v>
      </c>
      <c r="C152">
        <v>8464.5</v>
      </c>
      <c r="D152">
        <v>739291.5</v>
      </c>
      <c r="E152" t="e">
        <v>#N/A</v>
      </c>
      <c r="F152" t="e">
        <v>#N/A</v>
      </c>
      <c r="G152" t="e">
        <v>#N/A</v>
      </c>
      <c r="H152">
        <v>0</v>
      </c>
      <c r="I152">
        <v>19</v>
      </c>
    </row>
    <row r="153" spans="1:9" x14ac:dyDescent="0.3">
      <c r="A153" s="8">
        <v>43961</v>
      </c>
      <c r="B153" t="s">
        <v>19</v>
      </c>
      <c r="C153">
        <v>13440</v>
      </c>
      <c r="D153">
        <v>1198285.5</v>
      </c>
      <c r="E153" t="e">
        <v>#N/A</v>
      </c>
      <c r="F153" t="e">
        <v>#N/A</v>
      </c>
      <c r="G153" t="e">
        <v>#N/A</v>
      </c>
      <c r="H153">
        <v>0</v>
      </c>
      <c r="I153">
        <v>19</v>
      </c>
    </row>
    <row r="154" spans="1:9" x14ac:dyDescent="0.3">
      <c r="A154" s="8">
        <v>43959</v>
      </c>
      <c r="B154" t="s">
        <v>19</v>
      </c>
      <c r="C154">
        <v>9058.5</v>
      </c>
      <c r="D154">
        <v>798759</v>
      </c>
      <c r="E154" t="e">
        <v>#N/A</v>
      </c>
      <c r="F154" t="e">
        <v>#N/A</v>
      </c>
      <c r="G154" t="e">
        <v>#N/A</v>
      </c>
      <c r="H154">
        <v>0</v>
      </c>
      <c r="I154">
        <v>19</v>
      </c>
    </row>
    <row r="155" spans="1:9" x14ac:dyDescent="0.3">
      <c r="A155" s="8">
        <v>43958</v>
      </c>
      <c r="B155" t="s">
        <v>19</v>
      </c>
      <c r="C155">
        <v>8719.5</v>
      </c>
      <c r="D155">
        <v>769276.5</v>
      </c>
      <c r="E155" t="e">
        <v>#N/A</v>
      </c>
      <c r="F155" t="e">
        <v>#N/A</v>
      </c>
      <c r="G155" t="e">
        <v>#N/A</v>
      </c>
      <c r="H155">
        <v>0</v>
      </c>
      <c r="I155">
        <v>19</v>
      </c>
    </row>
    <row r="156" spans="1:9" x14ac:dyDescent="0.3">
      <c r="A156" s="8">
        <v>43960</v>
      </c>
      <c r="B156" t="s">
        <v>20</v>
      </c>
      <c r="C156">
        <v>26271</v>
      </c>
      <c r="D156">
        <v>2384937</v>
      </c>
      <c r="E156" t="e">
        <v>#N/A</v>
      </c>
      <c r="F156" t="e">
        <v>#N/A</v>
      </c>
      <c r="G156" t="e">
        <v>#N/A</v>
      </c>
      <c r="H156">
        <v>0</v>
      </c>
      <c r="I156">
        <v>19</v>
      </c>
    </row>
    <row r="157" spans="1:9" x14ac:dyDescent="0.3">
      <c r="A157" s="8">
        <v>43955</v>
      </c>
      <c r="B157" t="s">
        <v>20</v>
      </c>
      <c r="C157">
        <v>23587.5</v>
      </c>
      <c r="D157">
        <v>2155668</v>
      </c>
      <c r="E157" t="e">
        <v>#N/A</v>
      </c>
      <c r="F157" t="e">
        <v>#N/A</v>
      </c>
      <c r="G157" t="e">
        <v>#N/A</v>
      </c>
      <c r="H157">
        <v>0</v>
      </c>
      <c r="I157">
        <v>19</v>
      </c>
    </row>
    <row r="158" spans="1:9" x14ac:dyDescent="0.3">
      <c r="A158" s="8">
        <v>43956</v>
      </c>
      <c r="B158" t="s">
        <v>20</v>
      </c>
      <c r="C158">
        <v>26367</v>
      </c>
      <c r="D158">
        <v>2380333.5</v>
      </c>
      <c r="E158" t="e">
        <v>#N/A</v>
      </c>
      <c r="F158" t="e">
        <v>#N/A</v>
      </c>
      <c r="G158" t="e">
        <v>#N/A</v>
      </c>
      <c r="H158">
        <v>0</v>
      </c>
      <c r="I158">
        <v>19</v>
      </c>
    </row>
    <row r="159" spans="1:9" x14ac:dyDescent="0.3">
      <c r="A159" s="8">
        <v>43957</v>
      </c>
      <c r="B159" t="s">
        <v>20</v>
      </c>
      <c r="C159">
        <v>24337.5</v>
      </c>
      <c r="D159">
        <v>2159350.5</v>
      </c>
      <c r="E159" t="e">
        <v>#N/A</v>
      </c>
      <c r="F159" t="e">
        <v>#N/A</v>
      </c>
      <c r="G159" t="e">
        <v>#N/A</v>
      </c>
      <c r="H159">
        <v>0</v>
      </c>
      <c r="I159">
        <v>19</v>
      </c>
    </row>
    <row r="160" spans="1:9" x14ac:dyDescent="0.3">
      <c r="A160" s="8">
        <v>43961</v>
      </c>
      <c r="B160" t="s">
        <v>20</v>
      </c>
      <c r="C160">
        <v>31224</v>
      </c>
      <c r="D160">
        <v>2767270.5</v>
      </c>
      <c r="E160" t="e">
        <v>#N/A</v>
      </c>
      <c r="F160" t="e">
        <v>#N/A</v>
      </c>
      <c r="G160" t="e">
        <v>#N/A</v>
      </c>
      <c r="H160">
        <v>0</v>
      </c>
      <c r="I160">
        <v>19</v>
      </c>
    </row>
    <row r="161" spans="1:9" x14ac:dyDescent="0.3">
      <c r="A161" s="8">
        <v>43959</v>
      </c>
      <c r="B161" t="s">
        <v>20</v>
      </c>
      <c r="C161">
        <v>25020</v>
      </c>
      <c r="D161">
        <v>2235960</v>
      </c>
      <c r="E161" t="e">
        <v>#N/A</v>
      </c>
      <c r="F161" t="e">
        <v>#N/A</v>
      </c>
      <c r="G161" t="e">
        <v>#N/A</v>
      </c>
      <c r="H161">
        <v>0</v>
      </c>
      <c r="I161">
        <v>19</v>
      </c>
    </row>
    <row r="162" spans="1:9" x14ac:dyDescent="0.3">
      <c r="A162" s="8">
        <v>43958</v>
      </c>
      <c r="B162" t="s">
        <v>20</v>
      </c>
      <c r="C162">
        <v>26184</v>
      </c>
      <c r="D162">
        <v>2308336.5</v>
      </c>
      <c r="E162" t="e">
        <v>#N/A</v>
      </c>
      <c r="F162" t="e">
        <v>#N/A</v>
      </c>
      <c r="G162" t="e">
        <v>#N/A</v>
      </c>
      <c r="H162">
        <v>0</v>
      </c>
      <c r="I162">
        <v>19</v>
      </c>
    </row>
    <row r="163" spans="1:9" x14ac:dyDescent="0.3">
      <c r="A163" s="8">
        <v>43960</v>
      </c>
      <c r="B163" t="s">
        <v>21</v>
      </c>
      <c r="C163">
        <v>188319</v>
      </c>
      <c r="D163">
        <v>19218631.5</v>
      </c>
      <c r="E163" t="e">
        <v>#N/A</v>
      </c>
      <c r="F163" t="e">
        <v>#N/A</v>
      </c>
      <c r="G163" t="e">
        <v>#N/A</v>
      </c>
      <c r="H163">
        <v>0</v>
      </c>
      <c r="I163">
        <v>19</v>
      </c>
    </row>
    <row r="164" spans="1:9" x14ac:dyDescent="0.3">
      <c r="A164" s="8">
        <v>43955</v>
      </c>
      <c r="B164" t="s">
        <v>21</v>
      </c>
      <c r="C164">
        <v>237544.5</v>
      </c>
      <c r="D164">
        <v>24292218</v>
      </c>
      <c r="E164" t="e">
        <v>#N/A</v>
      </c>
      <c r="F164" t="e">
        <v>#N/A</v>
      </c>
      <c r="G164" t="e">
        <v>#N/A</v>
      </c>
      <c r="H164">
        <v>0</v>
      </c>
      <c r="I164">
        <v>19</v>
      </c>
    </row>
    <row r="165" spans="1:9" x14ac:dyDescent="0.3">
      <c r="A165" s="8">
        <v>43956</v>
      </c>
      <c r="B165" t="s">
        <v>21</v>
      </c>
      <c r="C165">
        <v>213582</v>
      </c>
      <c r="D165">
        <v>21919435.5</v>
      </c>
      <c r="E165" t="e">
        <v>#N/A</v>
      </c>
      <c r="F165" t="e">
        <v>#N/A</v>
      </c>
      <c r="G165" t="e">
        <v>#N/A</v>
      </c>
      <c r="H165">
        <v>0</v>
      </c>
      <c r="I165">
        <v>19</v>
      </c>
    </row>
    <row r="166" spans="1:9" x14ac:dyDescent="0.3">
      <c r="A166" s="8">
        <v>43957</v>
      </c>
      <c r="B166" t="s">
        <v>21</v>
      </c>
      <c r="C166">
        <v>224779.5</v>
      </c>
      <c r="D166">
        <v>23032992</v>
      </c>
      <c r="E166" t="e">
        <v>#N/A</v>
      </c>
      <c r="F166" t="e">
        <v>#N/A</v>
      </c>
      <c r="G166" t="e">
        <v>#N/A</v>
      </c>
      <c r="H166">
        <v>0</v>
      </c>
      <c r="I166">
        <v>19</v>
      </c>
    </row>
    <row r="167" spans="1:9" x14ac:dyDescent="0.3">
      <c r="A167" s="8">
        <v>43961</v>
      </c>
      <c r="B167" t="s">
        <v>21</v>
      </c>
      <c r="C167">
        <v>243825</v>
      </c>
      <c r="D167">
        <v>24890404.5</v>
      </c>
      <c r="E167" t="e">
        <v>#N/A</v>
      </c>
      <c r="F167" t="e">
        <v>#N/A</v>
      </c>
      <c r="G167" t="e">
        <v>#N/A</v>
      </c>
      <c r="H167">
        <v>0</v>
      </c>
      <c r="I167">
        <v>19</v>
      </c>
    </row>
    <row r="168" spans="1:9" x14ac:dyDescent="0.3">
      <c r="A168" s="8">
        <v>43959</v>
      </c>
      <c r="B168" t="s">
        <v>21</v>
      </c>
      <c r="C168">
        <v>232701</v>
      </c>
      <c r="D168">
        <v>23881948.5</v>
      </c>
      <c r="E168" t="e">
        <v>#N/A</v>
      </c>
      <c r="F168" t="e">
        <v>#N/A</v>
      </c>
      <c r="G168" t="e">
        <v>#N/A</v>
      </c>
      <c r="H168">
        <v>0</v>
      </c>
      <c r="I168">
        <v>19</v>
      </c>
    </row>
    <row r="169" spans="1:9" x14ac:dyDescent="0.3">
      <c r="A169" s="8">
        <v>43958</v>
      </c>
      <c r="B169" t="s">
        <v>21</v>
      </c>
      <c r="C169">
        <v>219411</v>
      </c>
      <c r="D169">
        <v>22460130</v>
      </c>
      <c r="E169" t="e">
        <v>#N/A</v>
      </c>
      <c r="F169" t="e">
        <v>#N/A</v>
      </c>
      <c r="G169" t="e">
        <v>#N/A</v>
      </c>
      <c r="H169">
        <v>0</v>
      </c>
      <c r="I169">
        <v>19</v>
      </c>
    </row>
    <row r="170" spans="1:9" x14ac:dyDescent="0.3">
      <c r="A170" s="8">
        <v>43960</v>
      </c>
      <c r="B170" t="s">
        <v>22</v>
      </c>
      <c r="C170">
        <v>177976.5</v>
      </c>
      <c r="D170">
        <v>18085798.5</v>
      </c>
      <c r="E170" t="e">
        <v>#N/A</v>
      </c>
      <c r="F170" t="e">
        <v>#N/A</v>
      </c>
      <c r="G170" t="e">
        <v>#N/A</v>
      </c>
      <c r="H170">
        <v>0</v>
      </c>
      <c r="I170">
        <v>19</v>
      </c>
    </row>
    <row r="171" spans="1:9" x14ac:dyDescent="0.3">
      <c r="A171" s="8">
        <v>43955</v>
      </c>
      <c r="B171" t="s">
        <v>22</v>
      </c>
      <c r="C171">
        <v>223617</v>
      </c>
      <c r="D171">
        <v>22796827.5</v>
      </c>
      <c r="E171" t="e">
        <v>#N/A</v>
      </c>
      <c r="F171" t="e">
        <v>#N/A</v>
      </c>
      <c r="G171" t="e">
        <v>#N/A</v>
      </c>
      <c r="H171">
        <v>0</v>
      </c>
      <c r="I171">
        <v>19</v>
      </c>
    </row>
    <row r="172" spans="1:9" x14ac:dyDescent="0.3">
      <c r="A172" s="8">
        <v>43956</v>
      </c>
      <c r="B172" t="s">
        <v>22</v>
      </c>
      <c r="C172">
        <v>203832</v>
      </c>
      <c r="D172">
        <v>20880142.5</v>
      </c>
      <c r="E172" t="e">
        <v>#N/A</v>
      </c>
      <c r="F172" t="e">
        <v>#N/A</v>
      </c>
      <c r="G172" t="e">
        <v>#N/A</v>
      </c>
      <c r="H172">
        <v>0</v>
      </c>
      <c r="I172">
        <v>19</v>
      </c>
    </row>
    <row r="173" spans="1:9" x14ac:dyDescent="0.3">
      <c r="A173" s="8">
        <v>43957</v>
      </c>
      <c r="B173" t="s">
        <v>22</v>
      </c>
      <c r="C173">
        <v>216498</v>
      </c>
      <c r="D173">
        <v>22126444.5</v>
      </c>
      <c r="E173" t="e">
        <v>#N/A</v>
      </c>
      <c r="F173" t="e">
        <v>#N/A</v>
      </c>
      <c r="G173" t="e">
        <v>#N/A</v>
      </c>
      <c r="H173">
        <v>0</v>
      </c>
      <c r="I173">
        <v>19</v>
      </c>
    </row>
    <row r="174" spans="1:9" x14ac:dyDescent="0.3">
      <c r="A174" s="8">
        <v>43961</v>
      </c>
      <c r="B174" t="s">
        <v>22</v>
      </c>
      <c r="C174">
        <v>231559.5</v>
      </c>
      <c r="D174">
        <v>23443725</v>
      </c>
      <c r="E174" t="e">
        <v>#N/A</v>
      </c>
      <c r="F174" t="e">
        <v>#N/A</v>
      </c>
      <c r="G174" t="e">
        <v>#N/A</v>
      </c>
      <c r="H174">
        <v>0</v>
      </c>
      <c r="I174">
        <v>19</v>
      </c>
    </row>
    <row r="175" spans="1:9" x14ac:dyDescent="0.3">
      <c r="A175" s="8">
        <v>43959</v>
      </c>
      <c r="B175" t="s">
        <v>22</v>
      </c>
      <c r="C175">
        <v>225076.5</v>
      </c>
      <c r="D175">
        <v>22846078.5</v>
      </c>
      <c r="E175" t="e">
        <v>#N/A</v>
      </c>
      <c r="F175" t="e">
        <v>#N/A</v>
      </c>
      <c r="G175" t="e">
        <v>#N/A</v>
      </c>
      <c r="H175">
        <v>0</v>
      </c>
      <c r="I175">
        <v>19</v>
      </c>
    </row>
    <row r="176" spans="1:9" x14ac:dyDescent="0.3">
      <c r="A176" s="8">
        <v>43958</v>
      </c>
      <c r="B176" t="s">
        <v>22</v>
      </c>
      <c r="C176">
        <v>209415</v>
      </c>
      <c r="D176">
        <v>21463023</v>
      </c>
      <c r="E176" t="e">
        <v>#N/A</v>
      </c>
      <c r="F176" t="e">
        <v>#N/A</v>
      </c>
      <c r="G176" t="e">
        <v>#N/A</v>
      </c>
      <c r="H176">
        <v>0</v>
      </c>
      <c r="I176">
        <v>19</v>
      </c>
    </row>
    <row r="177" spans="1:9" x14ac:dyDescent="0.3">
      <c r="A177" s="8">
        <v>43960</v>
      </c>
      <c r="B177" t="s">
        <v>23</v>
      </c>
      <c r="C177">
        <v>11745</v>
      </c>
      <c r="D177">
        <v>955801.5</v>
      </c>
      <c r="E177" t="e">
        <v>#N/A</v>
      </c>
      <c r="F177" t="e">
        <v>#N/A</v>
      </c>
      <c r="G177" t="e">
        <v>#N/A</v>
      </c>
      <c r="H177">
        <v>0</v>
      </c>
      <c r="I177">
        <v>19</v>
      </c>
    </row>
    <row r="178" spans="1:9" x14ac:dyDescent="0.3">
      <c r="A178" s="8">
        <v>43955</v>
      </c>
      <c r="B178" t="s">
        <v>23</v>
      </c>
      <c r="C178">
        <v>11062.5</v>
      </c>
      <c r="D178">
        <v>906343.5</v>
      </c>
      <c r="E178" t="e">
        <v>#N/A</v>
      </c>
      <c r="F178" t="e">
        <v>#N/A</v>
      </c>
      <c r="G178" t="e">
        <v>#N/A</v>
      </c>
      <c r="H178">
        <v>0</v>
      </c>
      <c r="I178">
        <v>19</v>
      </c>
    </row>
    <row r="179" spans="1:9" x14ac:dyDescent="0.3">
      <c r="A179" s="8">
        <v>43956</v>
      </c>
      <c r="B179" t="s">
        <v>23</v>
      </c>
      <c r="C179">
        <v>13941</v>
      </c>
      <c r="D179">
        <v>1145575.5</v>
      </c>
      <c r="E179" t="e">
        <v>#N/A</v>
      </c>
      <c r="F179" t="e">
        <v>#N/A</v>
      </c>
      <c r="G179" t="e">
        <v>#N/A</v>
      </c>
      <c r="H179">
        <v>0</v>
      </c>
      <c r="I179">
        <v>19</v>
      </c>
    </row>
    <row r="180" spans="1:9" x14ac:dyDescent="0.3">
      <c r="A180" s="8">
        <v>43957</v>
      </c>
      <c r="B180" t="s">
        <v>23</v>
      </c>
      <c r="C180">
        <v>12468</v>
      </c>
      <c r="D180">
        <v>1016566.5</v>
      </c>
      <c r="E180" t="e">
        <v>#N/A</v>
      </c>
      <c r="F180" t="e">
        <v>#N/A</v>
      </c>
      <c r="G180" t="e">
        <v>#N/A</v>
      </c>
      <c r="H180">
        <v>0</v>
      </c>
      <c r="I180">
        <v>19</v>
      </c>
    </row>
    <row r="181" spans="1:9" x14ac:dyDescent="0.3">
      <c r="A181" s="8">
        <v>43961</v>
      </c>
      <c r="B181" t="s">
        <v>23</v>
      </c>
      <c r="C181">
        <v>14566.5</v>
      </c>
      <c r="D181">
        <v>1216557</v>
      </c>
      <c r="E181" t="e">
        <v>#N/A</v>
      </c>
      <c r="F181" t="e">
        <v>#N/A</v>
      </c>
      <c r="G181" t="e">
        <v>#N/A</v>
      </c>
      <c r="H181">
        <v>0</v>
      </c>
      <c r="I181">
        <v>19</v>
      </c>
    </row>
    <row r="182" spans="1:9" x14ac:dyDescent="0.3">
      <c r="A182" s="8">
        <v>43959</v>
      </c>
      <c r="B182" t="s">
        <v>23</v>
      </c>
      <c r="C182">
        <v>12976.5</v>
      </c>
      <c r="D182">
        <v>1046848.5</v>
      </c>
      <c r="E182" t="e">
        <v>#N/A</v>
      </c>
      <c r="F182" t="e">
        <v>#N/A</v>
      </c>
      <c r="G182" t="e">
        <v>#N/A</v>
      </c>
      <c r="H182">
        <v>0</v>
      </c>
      <c r="I182">
        <v>19</v>
      </c>
    </row>
    <row r="183" spans="1:9" x14ac:dyDescent="0.3">
      <c r="A183" s="8">
        <v>43958</v>
      </c>
      <c r="B183" t="s">
        <v>23</v>
      </c>
      <c r="C183">
        <v>11719.5</v>
      </c>
      <c r="D183">
        <v>965880</v>
      </c>
      <c r="E183" t="e">
        <v>#N/A</v>
      </c>
      <c r="F183" t="e">
        <v>#N/A</v>
      </c>
      <c r="G183" t="e">
        <v>#N/A</v>
      </c>
      <c r="H183">
        <v>0</v>
      </c>
      <c r="I183">
        <v>19</v>
      </c>
    </row>
    <row r="184" spans="1:9" x14ac:dyDescent="0.3">
      <c r="A184" s="8">
        <v>43967</v>
      </c>
      <c r="B184" t="s">
        <v>10</v>
      </c>
      <c r="C184">
        <v>38947.5</v>
      </c>
      <c r="D184">
        <v>3395892</v>
      </c>
      <c r="E184">
        <v>21</v>
      </c>
      <c r="F184">
        <v>2145</v>
      </c>
      <c r="G184">
        <v>1947</v>
      </c>
      <c r="H184">
        <v>161709.14285714287</v>
      </c>
      <c r="I184">
        <v>20</v>
      </c>
    </row>
    <row r="185" spans="1:9" x14ac:dyDescent="0.3">
      <c r="A185" s="8">
        <v>43968</v>
      </c>
      <c r="B185" t="s">
        <v>10</v>
      </c>
      <c r="C185">
        <v>32023.5</v>
      </c>
      <c r="D185">
        <v>2882458.5</v>
      </c>
      <c r="E185">
        <v>21</v>
      </c>
      <c r="F185">
        <v>1874</v>
      </c>
      <c r="G185">
        <v>1705</v>
      </c>
      <c r="H185">
        <v>137259.92857142858</v>
      </c>
      <c r="I185">
        <v>20</v>
      </c>
    </row>
    <row r="186" spans="1:9" x14ac:dyDescent="0.3">
      <c r="A186" s="8">
        <v>43963</v>
      </c>
      <c r="B186" t="s">
        <v>10</v>
      </c>
      <c r="C186">
        <v>28219.5</v>
      </c>
      <c r="D186">
        <v>2595778.5</v>
      </c>
      <c r="E186">
        <v>21</v>
      </c>
      <c r="F186">
        <v>1656</v>
      </c>
      <c r="G186">
        <v>1516</v>
      </c>
      <c r="H186">
        <v>123608.5</v>
      </c>
      <c r="I186">
        <v>20</v>
      </c>
    </row>
    <row r="187" spans="1:9" x14ac:dyDescent="0.3">
      <c r="A187" s="8">
        <v>43964</v>
      </c>
      <c r="B187" t="s">
        <v>10</v>
      </c>
      <c r="C187">
        <v>29241</v>
      </c>
      <c r="D187">
        <v>2629782</v>
      </c>
      <c r="E187">
        <v>21</v>
      </c>
      <c r="F187">
        <v>1698</v>
      </c>
      <c r="G187">
        <v>1554</v>
      </c>
      <c r="H187">
        <v>125227.71428571429</v>
      </c>
      <c r="I187">
        <v>20</v>
      </c>
    </row>
    <row r="188" spans="1:9" x14ac:dyDescent="0.3">
      <c r="A188" s="8">
        <v>43967</v>
      </c>
      <c r="B188" t="s">
        <v>11</v>
      </c>
      <c r="C188">
        <v>88063.5</v>
      </c>
      <c r="D188">
        <v>7583758.5</v>
      </c>
      <c r="E188">
        <v>31</v>
      </c>
      <c r="F188">
        <v>5593</v>
      </c>
      <c r="G188">
        <v>5177</v>
      </c>
      <c r="H188">
        <v>244637.37096774194</v>
      </c>
      <c r="I188">
        <v>20</v>
      </c>
    </row>
    <row r="189" spans="1:9" x14ac:dyDescent="0.3">
      <c r="A189" s="8">
        <v>43968</v>
      </c>
      <c r="B189" t="s">
        <v>11</v>
      </c>
      <c r="C189">
        <v>78057</v>
      </c>
      <c r="D189">
        <v>6774946.5</v>
      </c>
      <c r="E189">
        <v>31</v>
      </c>
      <c r="F189">
        <v>5206</v>
      </c>
      <c r="G189">
        <v>4843</v>
      </c>
      <c r="H189">
        <v>218546.66129032258</v>
      </c>
      <c r="I189">
        <v>20</v>
      </c>
    </row>
    <row r="190" spans="1:9" x14ac:dyDescent="0.3">
      <c r="A190" s="8">
        <v>43963</v>
      </c>
      <c r="B190" t="s">
        <v>11</v>
      </c>
      <c r="C190">
        <v>71520</v>
      </c>
      <c r="D190">
        <v>6398361</v>
      </c>
      <c r="E190">
        <v>31</v>
      </c>
      <c r="F190">
        <v>4800</v>
      </c>
      <c r="G190">
        <v>4470</v>
      </c>
      <c r="H190">
        <v>206398.74193548388</v>
      </c>
      <c r="I190">
        <v>20</v>
      </c>
    </row>
    <row r="191" spans="1:9" x14ac:dyDescent="0.3">
      <c r="A191" s="8">
        <v>43964</v>
      </c>
      <c r="B191" t="s">
        <v>11</v>
      </c>
      <c r="C191">
        <v>78846</v>
      </c>
      <c r="D191">
        <v>6993952.5</v>
      </c>
      <c r="E191">
        <v>31</v>
      </c>
      <c r="F191">
        <v>5251</v>
      </c>
      <c r="G191">
        <v>4853</v>
      </c>
      <c r="H191">
        <v>225611.37096774194</v>
      </c>
      <c r="I191">
        <v>20</v>
      </c>
    </row>
    <row r="192" spans="1:9" x14ac:dyDescent="0.3">
      <c r="A192" s="8">
        <v>43967</v>
      </c>
      <c r="B192" t="s">
        <v>12</v>
      </c>
      <c r="C192">
        <v>14265</v>
      </c>
      <c r="D192">
        <v>1130506.5</v>
      </c>
      <c r="E192">
        <v>10</v>
      </c>
      <c r="F192">
        <v>760</v>
      </c>
      <c r="G192">
        <v>672</v>
      </c>
      <c r="H192">
        <v>113050.65</v>
      </c>
      <c r="I192">
        <v>20</v>
      </c>
    </row>
    <row r="193" spans="1:9" x14ac:dyDescent="0.3">
      <c r="A193" s="8">
        <v>43968</v>
      </c>
      <c r="B193" t="s">
        <v>12</v>
      </c>
      <c r="C193">
        <v>10402.5</v>
      </c>
      <c r="D193">
        <v>843727.5</v>
      </c>
      <c r="E193">
        <v>10</v>
      </c>
      <c r="F193">
        <v>591</v>
      </c>
      <c r="G193">
        <v>513</v>
      </c>
      <c r="H193">
        <v>84372.75</v>
      </c>
      <c r="I193">
        <v>20</v>
      </c>
    </row>
    <row r="194" spans="1:9" x14ac:dyDescent="0.3">
      <c r="A194" s="8">
        <v>43963</v>
      </c>
      <c r="B194" t="s">
        <v>12</v>
      </c>
      <c r="C194">
        <v>9328.5</v>
      </c>
      <c r="D194">
        <v>732964.5</v>
      </c>
      <c r="E194">
        <v>10</v>
      </c>
      <c r="F194">
        <v>526</v>
      </c>
      <c r="G194">
        <v>448</v>
      </c>
      <c r="H194">
        <v>73296.45</v>
      </c>
      <c r="I194">
        <v>20</v>
      </c>
    </row>
    <row r="195" spans="1:9" x14ac:dyDescent="0.3">
      <c r="A195" s="8">
        <v>43964</v>
      </c>
      <c r="B195" t="s">
        <v>12</v>
      </c>
      <c r="C195">
        <v>11202</v>
      </c>
      <c r="D195">
        <v>865714.5</v>
      </c>
      <c r="E195">
        <v>10</v>
      </c>
      <c r="F195">
        <v>612</v>
      </c>
      <c r="G195">
        <v>530</v>
      </c>
      <c r="H195">
        <v>86571.45</v>
      </c>
      <c r="I195">
        <v>20</v>
      </c>
    </row>
    <row r="196" spans="1:9" x14ac:dyDescent="0.3">
      <c r="A196" s="8">
        <v>43967</v>
      </c>
      <c r="B196" t="s">
        <v>13</v>
      </c>
      <c r="C196">
        <v>35482.5</v>
      </c>
      <c r="D196">
        <v>3222517.5</v>
      </c>
      <c r="E196">
        <v>19</v>
      </c>
      <c r="F196">
        <v>2080</v>
      </c>
      <c r="G196">
        <v>1844</v>
      </c>
      <c r="H196">
        <v>169606.18421052632</v>
      </c>
      <c r="I196">
        <v>20</v>
      </c>
    </row>
    <row r="197" spans="1:9" x14ac:dyDescent="0.3">
      <c r="A197" s="8">
        <v>43968</v>
      </c>
      <c r="B197" t="s">
        <v>13</v>
      </c>
      <c r="C197">
        <v>30486</v>
      </c>
      <c r="D197">
        <v>2694289.5</v>
      </c>
      <c r="E197">
        <v>19</v>
      </c>
      <c r="F197">
        <v>1871</v>
      </c>
      <c r="G197">
        <v>1660</v>
      </c>
      <c r="H197">
        <v>141804.71052631579</v>
      </c>
      <c r="I197">
        <v>20</v>
      </c>
    </row>
    <row r="198" spans="1:9" x14ac:dyDescent="0.3">
      <c r="A198" s="8">
        <v>43963</v>
      </c>
      <c r="B198" t="s">
        <v>13</v>
      </c>
      <c r="C198">
        <v>26032.5</v>
      </c>
      <c r="D198">
        <v>2370432</v>
      </c>
      <c r="E198">
        <v>19</v>
      </c>
      <c r="F198">
        <v>1649</v>
      </c>
      <c r="G198">
        <v>1460</v>
      </c>
      <c r="H198">
        <v>124759.57894736843</v>
      </c>
      <c r="I198">
        <v>20</v>
      </c>
    </row>
    <row r="199" spans="1:9" x14ac:dyDescent="0.3">
      <c r="A199" s="8">
        <v>43964</v>
      </c>
      <c r="B199" t="s">
        <v>13</v>
      </c>
      <c r="C199">
        <v>26464.5</v>
      </c>
      <c r="D199">
        <v>2373337.5</v>
      </c>
      <c r="E199">
        <v>19</v>
      </c>
      <c r="F199">
        <v>1625</v>
      </c>
      <c r="G199">
        <v>1444</v>
      </c>
      <c r="H199">
        <v>124912.5</v>
      </c>
      <c r="I199">
        <v>20</v>
      </c>
    </row>
    <row r="200" spans="1:9" x14ac:dyDescent="0.3">
      <c r="A200" s="8">
        <v>43967</v>
      </c>
      <c r="B200" t="s">
        <v>14</v>
      </c>
      <c r="C200">
        <v>321412.5</v>
      </c>
      <c r="D200">
        <v>32235864</v>
      </c>
      <c r="E200">
        <v>129</v>
      </c>
      <c r="F200">
        <v>17914</v>
      </c>
      <c r="G200">
        <v>16631</v>
      </c>
      <c r="H200">
        <v>249890.41860465117</v>
      </c>
      <c r="I200">
        <v>20</v>
      </c>
    </row>
    <row r="201" spans="1:9" x14ac:dyDescent="0.3">
      <c r="A201" s="8">
        <v>43968</v>
      </c>
      <c r="B201" t="s">
        <v>14</v>
      </c>
      <c r="C201">
        <v>269029.5</v>
      </c>
      <c r="D201">
        <v>26659930.5</v>
      </c>
      <c r="E201">
        <v>129</v>
      </c>
      <c r="F201">
        <v>15744</v>
      </c>
      <c r="G201">
        <v>14685</v>
      </c>
      <c r="H201">
        <v>206666.12790697673</v>
      </c>
      <c r="I201">
        <v>20</v>
      </c>
    </row>
    <row r="202" spans="1:9" x14ac:dyDescent="0.3">
      <c r="A202" s="8">
        <v>43963</v>
      </c>
      <c r="B202" t="s">
        <v>14</v>
      </c>
      <c r="C202">
        <v>281796</v>
      </c>
      <c r="D202">
        <v>29042520</v>
      </c>
      <c r="E202">
        <v>129</v>
      </c>
      <c r="F202">
        <v>16387</v>
      </c>
      <c r="G202">
        <v>15322</v>
      </c>
      <c r="H202">
        <v>225135.81395348837</v>
      </c>
      <c r="I202">
        <v>20</v>
      </c>
    </row>
    <row r="203" spans="1:9" x14ac:dyDescent="0.3">
      <c r="A203" s="8">
        <v>43964</v>
      </c>
      <c r="B203" t="s">
        <v>14</v>
      </c>
      <c r="C203">
        <v>258459</v>
      </c>
      <c r="D203">
        <v>26467453.5</v>
      </c>
      <c r="E203">
        <v>129</v>
      </c>
      <c r="F203">
        <v>15304</v>
      </c>
      <c r="G203">
        <v>14315</v>
      </c>
      <c r="H203">
        <v>205174.05813953487</v>
      </c>
      <c r="I203">
        <v>20</v>
      </c>
    </row>
    <row r="204" spans="1:9" x14ac:dyDescent="0.3">
      <c r="A204" s="8">
        <v>43967</v>
      </c>
      <c r="B204" t="s">
        <v>15</v>
      </c>
      <c r="C204">
        <v>408810</v>
      </c>
      <c r="D204">
        <v>42323631</v>
      </c>
      <c r="E204">
        <v>125</v>
      </c>
      <c r="F204">
        <v>22291</v>
      </c>
      <c r="G204">
        <v>20635</v>
      </c>
      <c r="H204">
        <v>338589.04800000001</v>
      </c>
      <c r="I204">
        <v>20</v>
      </c>
    </row>
    <row r="205" spans="1:9" x14ac:dyDescent="0.3">
      <c r="A205" s="8">
        <v>43968</v>
      </c>
      <c r="B205" t="s">
        <v>15</v>
      </c>
      <c r="C205">
        <v>357072</v>
      </c>
      <c r="D205">
        <v>36834567</v>
      </c>
      <c r="E205">
        <v>125</v>
      </c>
      <c r="F205">
        <v>20079</v>
      </c>
      <c r="G205">
        <v>18721</v>
      </c>
      <c r="H205">
        <v>294676.53600000002</v>
      </c>
      <c r="I205">
        <v>20</v>
      </c>
    </row>
    <row r="206" spans="1:9" x14ac:dyDescent="0.3">
      <c r="A206" s="8">
        <v>43963</v>
      </c>
      <c r="B206" t="s">
        <v>15</v>
      </c>
      <c r="C206">
        <v>373392</v>
      </c>
      <c r="D206">
        <v>39578577</v>
      </c>
      <c r="E206">
        <v>125</v>
      </c>
      <c r="F206">
        <v>21106</v>
      </c>
      <c r="G206">
        <v>19651</v>
      </c>
      <c r="H206">
        <v>316628.61599999998</v>
      </c>
      <c r="I206">
        <v>20</v>
      </c>
    </row>
    <row r="207" spans="1:9" x14ac:dyDescent="0.3">
      <c r="A207" s="8">
        <v>43964</v>
      </c>
      <c r="B207" t="s">
        <v>15</v>
      </c>
      <c r="C207">
        <v>350068.5</v>
      </c>
      <c r="D207">
        <v>37197115.5</v>
      </c>
      <c r="E207">
        <v>125</v>
      </c>
      <c r="F207">
        <v>19965</v>
      </c>
      <c r="G207">
        <v>18573</v>
      </c>
      <c r="H207">
        <v>297576.924</v>
      </c>
      <c r="I207">
        <v>20</v>
      </c>
    </row>
    <row r="208" spans="1:9" x14ac:dyDescent="0.3">
      <c r="A208" s="8">
        <v>43967</v>
      </c>
      <c r="B208" t="s">
        <v>16</v>
      </c>
      <c r="C208">
        <v>81331.5</v>
      </c>
      <c r="D208">
        <v>6652179</v>
      </c>
      <c r="E208">
        <v>36</v>
      </c>
      <c r="F208">
        <v>5286</v>
      </c>
      <c r="G208">
        <v>4867</v>
      </c>
      <c r="H208">
        <v>184782.75</v>
      </c>
      <c r="I208">
        <v>20</v>
      </c>
    </row>
    <row r="209" spans="1:9" x14ac:dyDescent="0.3">
      <c r="A209" s="8">
        <v>43968</v>
      </c>
      <c r="B209" t="s">
        <v>16</v>
      </c>
      <c r="C209">
        <v>72861</v>
      </c>
      <c r="D209">
        <v>5952802.5</v>
      </c>
      <c r="E209">
        <v>36</v>
      </c>
      <c r="F209">
        <v>4918</v>
      </c>
      <c r="G209">
        <v>4554</v>
      </c>
      <c r="H209">
        <v>165355.625</v>
      </c>
      <c r="I209">
        <v>20</v>
      </c>
    </row>
    <row r="210" spans="1:9" x14ac:dyDescent="0.3">
      <c r="A210" s="8">
        <v>43963</v>
      </c>
      <c r="B210" t="s">
        <v>16</v>
      </c>
      <c r="C210">
        <v>64390.5</v>
      </c>
      <c r="D210">
        <v>5523145.5</v>
      </c>
      <c r="E210">
        <v>36</v>
      </c>
      <c r="F210">
        <v>4418</v>
      </c>
      <c r="G210">
        <v>4088</v>
      </c>
      <c r="H210">
        <v>153420.70833333334</v>
      </c>
      <c r="I210">
        <v>20</v>
      </c>
    </row>
    <row r="211" spans="1:9" x14ac:dyDescent="0.3">
      <c r="A211" s="8">
        <v>43964</v>
      </c>
      <c r="B211" t="s">
        <v>16</v>
      </c>
      <c r="C211">
        <v>73062</v>
      </c>
      <c r="D211">
        <v>6333828</v>
      </c>
      <c r="E211">
        <v>36</v>
      </c>
      <c r="F211">
        <v>4967</v>
      </c>
      <c r="G211">
        <v>4583</v>
      </c>
      <c r="H211">
        <v>175939.66666666666</v>
      </c>
      <c r="I211">
        <v>20</v>
      </c>
    </row>
    <row r="212" spans="1:9" x14ac:dyDescent="0.3">
      <c r="A212" s="8">
        <v>43967</v>
      </c>
      <c r="B212" t="s">
        <v>17</v>
      </c>
      <c r="C212">
        <v>44560.5</v>
      </c>
      <c r="D212">
        <v>4025148</v>
      </c>
      <c r="E212">
        <v>21</v>
      </c>
      <c r="F212">
        <v>2427</v>
      </c>
      <c r="G212">
        <v>2213</v>
      </c>
      <c r="H212">
        <v>191673.71428571429</v>
      </c>
      <c r="I212">
        <v>20</v>
      </c>
    </row>
    <row r="213" spans="1:9" x14ac:dyDescent="0.3">
      <c r="A213" s="8">
        <v>43968</v>
      </c>
      <c r="B213" t="s">
        <v>17</v>
      </c>
      <c r="C213">
        <v>34830</v>
      </c>
      <c r="D213">
        <v>3191155.5</v>
      </c>
      <c r="E213">
        <v>21</v>
      </c>
      <c r="F213">
        <v>2054</v>
      </c>
      <c r="G213">
        <v>1883</v>
      </c>
      <c r="H213">
        <v>151959.78571428571</v>
      </c>
      <c r="I213">
        <v>20</v>
      </c>
    </row>
    <row r="214" spans="1:9" x14ac:dyDescent="0.3">
      <c r="A214" s="8">
        <v>43963</v>
      </c>
      <c r="B214" t="s">
        <v>17</v>
      </c>
      <c r="C214">
        <v>32419.5</v>
      </c>
      <c r="D214">
        <v>3080614.5</v>
      </c>
      <c r="E214" t="e">
        <v>#N/A</v>
      </c>
      <c r="F214" t="e">
        <v>#N/A</v>
      </c>
      <c r="G214" t="e">
        <v>#N/A</v>
      </c>
      <c r="H214">
        <v>0</v>
      </c>
      <c r="I214">
        <v>20</v>
      </c>
    </row>
    <row r="215" spans="1:9" x14ac:dyDescent="0.3">
      <c r="A215" s="8">
        <v>43964</v>
      </c>
      <c r="B215" t="s">
        <v>17</v>
      </c>
      <c r="C215">
        <v>35535</v>
      </c>
      <c r="D215">
        <v>3288069</v>
      </c>
      <c r="E215">
        <v>21</v>
      </c>
      <c r="F215">
        <v>2061</v>
      </c>
      <c r="G215">
        <v>1876</v>
      </c>
      <c r="H215">
        <v>156574.71428571429</v>
      </c>
      <c r="I215">
        <v>20</v>
      </c>
    </row>
    <row r="216" spans="1:9" x14ac:dyDescent="0.3">
      <c r="A216" s="8">
        <v>43967</v>
      </c>
      <c r="B216" t="s">
        <v>18</v>
      </c>
      <c r="C216">
        <v>18600</v>
      </c>
      <c r="D216">
        <v>1601425.5</v>
      </c>
      <c r="E216">
        <v>15</v>
      </c>
      <c r="F216">
        <v>1111</v>
      </c>
      <c r="G216">
        <v>992</v>
      </c>
      <c r="H216">
        <v>106761.7</v>
      </c>
      <c r="I216">
        <v>20</v>
      </c>
    </row>
    <row r="217" spans="1:9" x14ac:dyDescent="0.3">
      <c r="A217" s="8">
        <v>43968</v>
      </c>
      <c r="B217" t="s">
        <v>18</v>
      </c>
      <c r="C217">
        <v>15609</v>
      </c>
      <c r="D217">
        <v>1377577.5</v>
      </c>
      <c r="E217">
        <v>15</v>
      </c>
      <c r="F217">
        <v>971</v>
      </c>
      <c r="G217">
        <v>856</v>
      </c>
      <c r="H217">
        <v>91838.5</v>
      </c>
      <c r="I217">
        <v>20</v>
      </c>
    </row>
    <row r="218" spans="1:9" x14ac:dyDescent="0.3">
      <c r="A218" s="8">
        <v>43963</v>
      </c>
      <c r="B218" t="s">
        <v>18</v>
      </c>
      <c r="C218">
        <v>12802.5</v>
      </c>
      <c r="D218">
        <v>1123830</v>
      </c>
      <c r="E218" t="e">
        <v>#N/A</v>
      </c>
      <c r="F218" t="e">
        <v>#N/A</v>
      </c>
      <c r="G218" t="e">
        <v>#N/A</v>
      </c>
      <c r="H218">
        <v>0</v>
      </c>
      <c r="I218">
        <v>20</v>
      </c>
    </row>
    <row r="219" spans="1:9" x14ac:dyDescent="0.3">
      <c r="A219" s="8">
        <v>43964</v>
      </c>
      <c r="B219" t="s">
        <v>18</v>
      </c>
      <c r="C219">
        <v>14305.5</v>
      </c>
      <c r="D219">
        <v>1243507.5</v>
      </c>
      <c r="E219" t="e">
        <v>#N/A</v>
      </c>
      <c r="F219" t="e">
        <v>#N/A</v>
      </c>
      <c r="G219" t="e">
        <v>#N/A</v>
      </c>
      <c r="H219">
        <v>0</v>
      </c>
      <c r="I219">
        <v>20</v>
      </c>
    </row>
    <row r="220" spans="1:9" x14ac:dyDescent="0.3">
      <c r="A220" s="8">
        <v>43967</v>
      </c>
      <c r="B220" t="s">
        <v>19</v>
      </c>
      <c r="C220">
        <v>13120.5</v>
      </c>
      <c r="D220">
        <v>1215033</v>
      </c>
      <c r="E220">
        <v>15</v>
      </c>
      <c r="F220">
        <v>747</v>
      </c>
      <c r="G220">
        <v>647</v>
      </c>
      <c r="H220">
        <v>81002.2</v>
      </c>
      <c r="I220">
        <v>20</v>
      </c>
    </row>
    <row r="221" spans="1:9" x14ac:dyDescent="0.3">
      <c r="A221" s="8">
        <v>43968</v>
      </c>
      <c r="B221" t="s">
        <v>19</v>
      </c>
      <c r="C221">
        <v>11967</v>
      </c>
      <c r="D221">
        <v>1060489.5</v>
      </c>
      <c r="E221">
        <v>15</v>
      </c>
      <c r="F221">
        <v>692</v>
      </c>
      <c r="G221">
        <v>591</v>
      </c>
      <c r="H221">
        <v>70699.3</v>
      </c>
      <c r="I221">
        <v>20</v>
      </c>
    </row>
    <row r="222" spans="1:9" x14ac:dyDescent="0.3">
      <c r="A222" s="8">
        <v>43963</v>
      </c>
      <c r="B222" t="s">
        <v>19</v>
      </c>
      <c r="C222">
        <v>11296.5</v>
      </c>
      <c r="D222">
        <v>989632.5</v>
      </c>
      <c r="E222" t="e">
        <v>#N/A</v>
      </c>
      <c r="F222" t="e">
        <v>#N/A</v>
      </c>
      <c r="G222" t="e">
        <v>#N/A</v>
      </c>
      <c r="H222">
        <v>0</v>
      </c>
      <c r="I222">
        <v>20</v>
      </c>
    </row>
    <row r="223" spans="1:9" x14ac:dyDescent="0.3">
      <c r="A223" s="8">
        <v>43964</v>
      </c>
      <c r="B223" t="s">
        <v>19</v>
      </c>
      <c r="C223">
        <v>10401</v>
      </c>
      <c r="D223">
        <v>949912.5</v>
      </c>
      <c r="E223" t="e">
        <v>#N/A</v>
      </c>
      <c r="F223" t="e">
        <v>#N/A</v>
      </c>
      <c r="G223" t="e">
        <v>#N/A</v>
      </c>
      <c r="H223">
        <v>0</v>
      </c>
      <c r="I223">
        <v>20</v>
      </c>
    </row>
    <row r="224" spans="1:9" x14ac:dyDescent="0.3">
      <c r="A224" s="8">
        <v>43967</v>
      </c>
      <c r="B224" t="s">
        <v>20</v>
      </c>
      <c r="C224">
        <v>34563</v>
      </c>
      <c r="D224">
        <v>2922883.5</v>
      </c>
      <c r="E224" t="e">
        <v>#N/A</v>
      </c>
      <c r="F224" t="e">
        <v>#N/A</v>
      </c>
      <c r="G224" t="e">
        <v>#N/A</v>
      </c>
      <c r="H224">
        <v>0</v>
      </c>
      <c r="I224">
        <v>20</v>
      </c>
    </row>
    <row r="225" spans="1:9" x14ac:dyDescent="0.3">
      <c r="A225" s="8">
        <v>43968</v>
      </c>
      <c r="B225" t="s">
        <v>20</v>
      </c>
      <c r="C225">
        <v>28275</v>
      </c>
      <c r="D225">
        <v>2435632.5</v>
      </c>
      <c r="E225" t="e">
        <v>#N/A</v>
      </c>
      <c r="F225" t="e">
        <v>#N/A</v>
      </c>
      <c r="G225" t="e">
        <v>#N/A</v>
      </c>
      <c r="H225">
        <v>0</v>
      </c>
      <c r="I225">
        <v>20</v>
      </c>
    </row>
    <row r="226" spans="1:9" x14ac:dyDescent="0.3">
      <c r="A226" s="8">
        <v>43963</v>
      </c>
      <c r="B226" t="s">
        <v>20</v>
      </c>
      <c r="C226">
        <v>25483.5</v>
      </c>
      <c r="D226">
        <v>2243160</v>
      </c>
      <c r="E226" t="e">
        <v>#N/A</v>
      </c>
      <c r="F226" t="e">
        <v>#N/A</v>
      </c>
      <c r="G226" t="e">
        <v>#N/A</v>
      </c>
      <c r="H226">
        <v>0</v>
      </c>
      <c r="I226">
        <v>20</v>
      </c>
    </row>
    <row r="227" spans="1:9" x14ac:dyDescent="0.3">
      <c r="A227" s="8">
        <v>43964</v>
      </c>
      <c r="B227" t="s">
        <v>20</v>
      </c>
      <c r="C227">
        <v>25539</v>
      </c>
      <c r="D227">
        <v>2263651.5</v>
      </c>
      <c r="E227" t="e">
        <v>#N/A</v>
      </c>
      <c r="F227" t="e">
        <v>#N/A</v>
      </c>
      <c r="G227" t="e">
        <v>#N/A</v>
      </c>
      <c r="H227">
        <v>0</v>
      </c>
      <c r="I227">
        <v>20</v>
      </c>
    </row>
    <row r="228" spans="1:9" x14ac:dyDescent="0.3">
      <c r="A228" s="8">
        <v>43967</v>
      </c>
      <c r="B228" t="s">
        <v>21</v>
      </c>
      <c r="C228">
        <v>236551.5</v>
      </c>
      <c r="D228">
        <v>23689383</v>
      </c>
      <c r="E228" t="e">
        <v>#N/A</v>
      </c>
      <c r="F228" t="e">
        <v>#N/A</v>
      </c>
      <c r="G228" t="e">
        <v>#N/A</v>
      </c>
      <c r="H228">
        <v>0</v>
      </c>
      <c r="I228">
        <v>20</v>
      </c>
    </row>
    <row r="229" spans="1:9" x14ac:dyDescent="0.3">
      <c r="A229" s="8">
        <v>43968</v>
      </c>
      <c r="B229" t="s">
        <v>21</v>
      </c>
      <c r="C229">
        <v>193363.5</v>
      </c>
      <c r="D229">
        <v>19546386</v>
      </c>
      <c r="E229" t="e">
        <v>#N/A</v>
      </c>
      <c r="F229" t="e">
        <v>#N/A</v>
      </c>
      <c r="G229" t="e">
        <v>#N/A</v>
      </c>
      <c r="H229">
        <v>0</v>
      </c>
      <c r="I229">
        <v>20</v>
      </c>
    </row>
    <row r="230" spans="1:9" x14ac:dyDescent="0.3">
      <c r="A230" s="8">
        <v>43963</v>
      </c>
      <c r="B230" t="s">
        <v>21</v>
      </c>
      <c r="C230">
        <v>192886.5</v>
      </c>
      <c r="D230">
        <v>19205179.5</v>
      </c>
      <c r="E230" t="e">
        <v>#N/A</v>
      </c>
      <c r="F230" t="e">
        <v>#N/A</v>
      </c>
      <c r="G230" t="e">
        <v>#N/A</v>
      </c>
      <c r="H230">
        <v>0</v>
      </c>
      <c r="I230">
        <v>20</v>
      </c>
    </row>
    <row r="231" spans="1:9" x14ac:dyDescent="0.3">
      <c r="A231" s="8">
        <v>43964</v>
      </c>
      <c r="B231" t="s">
        <v>21</v>
      </c>
      <c r="C231">
        <v>193722</v>
      </c>
      <c r="D231">
        <v>19437273</v>
      </c>
      <c r="E231" t="e">
        <v>#N/A</v>
      </c>
      <c r="F231" t="e">
        <v>#N/A</v>
      </c>
      <c r="G231" t="e">
        <v>#N/A</v>
      </c>
      <c r="H231">
        <v>0</v>
      </c>
      <c r="I231">
        <v>20</v>
      </c>
    </row>
    <row r="232" spans="1:9" x14ac:dyDescent="0.3">
      <c r="A232" s="8">
        <v>43967</v>
      </c>
      <c r="B232" t="s">
        <v>22</v>
      </c>
      <c r="C232">
        <v>225480</v>
      </c>
      <c r="D232">
        <v>22355338.5</v>
      </c>
      <c r="E232" t="e">
        <v>#N/A</v>
      </c>
      <c r="F232" t="e">
        <v>#N/A</v>
      </c>
      <c r="G232" t="e">
        <v>#N/A</v>
      </c>
      <c r="H232">
        <v>0</v>
      </c>
      <c r="I232">
        <v>20</v>
      </c>
    </row>
    <row r="233" spans="1:9" x14ac:dyDescent="0.3">
      <c r="A233" s="8">
        <v>43968</v>
      </c>
      <c r="B233" t="s">
        <v>22</v>
      </c>
      <c r="C233">
        <v>184801.5</v>
      </c>
      <c r="D233">
        <v>18449091</v>
      </c>
      <c r="E233" t="e">
        <v>#N/A</v>
      </c>
      <c r="F233" t="e">
        <v>#N/A</v>
      </c>
      <c r="G233" t="e">
        <v>#N/A</v>
      </c>
      <c r="H233">
        <v>0</v>
      </c>
      <c r="I233">
        <v>20</v>
      </c>
    </row>
    <row r="234" spans="1:9" x14ac:dyDescent="0.3">
      <c r="A234" s="8">
        <v>43963</v>
      </c>
      <c r="B234" t="s">
        <v>22</v>
      </c>
      <c r="C234">
        <v>189679.5</v>
      </c>
      <c r="D234">
        <v>18718036.5</v>
      </c>
      <c r="E234" t="e">
        <v>#N/A</v>
      </c>
      <c r="F234" t="e">
        <v>#N/A</v>
      </c>
      <c r="G234" t="e">
        <v>#N/A</v>
      </c>
      <c r="H234">
        <v>0</v>
      </c>
      <c r="I234">
        <v>20</v>
      </c>
    </row>
    <row r="235" spans="1:9" x14ac:dyDescent="0.3">
      <c r="A235" s="8">
        <v>43964</v>
      </c>
      <c r="B235" t="s">
        <v>22</v>
      </c>
      <c r="C235">
        <v>188662.5</v>
      </c>
      <c r="D235">
        <v>18784000.5</v>
      </c>
      <c r="E235" t="e">
        <v>#N/A</v>
      </c>
      <c r="F235" t="e">
        <v>#N/A</v>
      </c>
      <c r="G235" t="e">
        <v>#N/A</v>
      </c>
      <c r="H235">
        <v>0</v>
      </c>
      <c r="I235">
        <v>20</v>
      </c>
    </row>
    <row r="236" spans="1:9" x14ac:dyDescent="0.3">
      <c r="A236" s="8">
        <v>43967</v>
      </c>
      <c r="B236" t="s">
        <v>23</v>
      </c>
      <c r="C236">
        <v>16368</v>
      </c>
      <c r="D236">
        <v>1316350.5</v>
      </c>
      <c r="E236" t="e">
        <v>#N/A</v>
      </c>
      <c r="F236" t="e">
        <v>#N/A</v>
      </c>
      <c r="G236" t="e">
        <v>#N/A</v>
      </c>
      <c r="H236">
        <v>0</v>
      </c>
      <c r="I236">
        <v>20</v>
      </c>
    </row>
    <row r="237" spans="1:9" x14ac:dyDescent="0.3">
      <c r="A237" s="8">
        <v>43968</v>
      </c>
      <c r="B237" t="s">
        <v>23</v>
      </c>
      <c r="C237">
        <v>13440</v>
      </c>
      <c r="D237">
        <v>1157529</v>
      </c>
      <c r="E237" t="e">
        <v>#N/A</v>
      </c>
      <c r="F237" t="e">
        <v>#N/A</v>
      </c>
      <c r="G237" t="e">
        <v>#N/A</v>
      </c>
      <c r="H237">
        <v>0</v>
      </c>
      <c r="I237">
        <v>20</v>
      </c>
    </row>
    <row r="238" spans="1:9" x14ac:dyDescent="0.3">
      <c r="A238" s="8">
        <v>43963</v>
      </c>
      <c r="B238" t="s">
        <v>23</v>
      </c>
      <c r="C238">
        <v>13443</v>
      </c>
      <c r="D238">
        <v>1092277.5</v>
      </c>
      <c r="E238" t="e">
        <v>#N/A</v>
      </c>
      <c r="F238" t="e">
        <v>#N/A</v>
      </c>
      <c r="G238" t="e">
        <v>#N/A</v>
      </c>
      <c r="H238">
        <v>0</v>
      </c>
      <c r="I238">
        <v>20</v>
      </c>
    </row>
    <row r="239" spans="1:9" x14ac:dyDescent="0.3">
      <c r="A239" s="8">
        <v>43964</v>
      </c>
      <c r="B239" t="s">
        <v>23</v>
      </c>
      <c r="C239">
        <v>14643</v>
      </c>
      <c r="D239">
        <v>1172691</v>
      </c>
      <c r="E239" t="e">
        <v>#N/A</v>
      </c>
      <c r="F239" t="e">
        <v>#N/A</v>
      </c>
      <c r="G239" t="e">
        <v>#N/A</v>
      </c>
      <c r="H239">
        <v>0</v>
      </c>
      <c r="I239">
        <v>20</v>
      </c>
    </row>
    <row r="240" spans="1:9" x14ac:dyDescent="0.3">
      <c r="A240" s="8">
        <v>43962</v>
      </c>
      <c r="B240" t="s">
        <v>10</v>
      </c>
      <c r="C240">
        <v>27187.5</v>
      </c>
      <c r="D240">
        <v>2479396.5</v>
      </c>
      <c r="E240" t="e">
        <v>#N/A</v>
      </c>
      <c r="F240" t="e">
        <v>#N/A</v>
      </c>
      <c r="G240" t="e">
        <v>#N/A</v>
      </c>
      <c r="H240">
        <v>0</v>
      </c>
      <c r="I240">
        <v>20</v>
      </c>
    </row>
    <row r="241" spans="1:9" x14ac:dyDescent="0.3">
      <c r="A241" s="8">
        <v>43965</v>
      </c>
      <c r="B241" t="s">
        <v>10</v>
      </c>
      <c r="C241">
        <v>29658</v>
      </c>
      <c r="D241">
        <v>2703132</v>
      </c>
      <c r="E241" t="e">
        <v>#N/A</v>
      </c>
      <c r="F241" t="e">
        <v>#N/A</v>
      </c>
      <c r="G241" t="e">
        <v>#N/A</v>
      </c>
      <c r="H241">
        <v>0</v>
      </c>
      <c r="I241">
        <v>20</v>
      </c>
    </row>
    <row r="242" spans="1:9" x14ac:dyDescent="0.3">
      <c r="A242" s="8">
        <v>43966</v>
      </c>
      <c r="B242" t="s">
        <v>10</v>
      </c>
      <c r="C242">
        <v>34150.5</v>
      </c>
      <c r="D242">
        <v>3038293.5</v>
      </c>
      <c r="E242" t="e">
        <v>#N/A</v>
      </c>
      <c r="F242" t="e">
        <v>#N/A</v>
      </c>
      <c r="G242" t="e">
        <v>#N/A</v>
      </c>
      <c r="H242">
        <v>0</v>
      </c>
      <c r="I242">
        <v>20</v>
      </c>
    </row>
    <row r="243" spans="1:9" x14ac:dyDescent="0.3">
      <c r="A243" s="8">
        <v>43962</v>
      </c>
      <c r="B243" t="s">
        <v>11</v>
      </c>
      <c r="C243">
        <v>72220.5</v>
      </c>
      <c r="D243">
        <v>6398719.5</v>
      </c>
      <c r="E243" t="e">
        <v>#N/A</v>
      </c>
      <c r="F243" t="e">
        <v>#N/A</v>
      </c>
      <c r="G243" t="e">
        <v>#N/A</v>
      </c>
      <c r="H243">
        <v>0</v>
      </c>
      <c r="I243">
        <v>20</v>
      </c>
    </row>
    <row r="244" spans="1:9" x14ac:dyDescent="0.3">
      <c r="A244" s="8">
        <v>43965</v>
      </c>
      <c r="B244" t="s">
        <v>11</v>
      </c>
      <c r="C244">
        <v>70498.5</v>
      </c>
      <c r="D244">
        <v>6053649</v>
      </c>
      <c r="E244" t="e">
        <v>#N/A</v>
      </c>
      <c r="F244" t="e">
        <v>#N/A</v>
      </c>
      <c r="G244" t="e">
        <v>#N/A</v>
      </c>
      <c r="H244">
        <v>0</v>
      </c>
      <c r="I244">
        <v>20</v>
      </c>
    </row>
    <row r="245" spans="1:9" x14ac:dyDescent="0.3">
      <c r="A245" s="8">
        <v>43966</v>
      </c>
      <c r="B245" t="s">
        <v>11</v>
      </c>
      <c r="C245">
        <v>78961.5</v>
      </c>
      <c r="D245">
        <v>6876454.5</v>
      </c>
      <c r="E245" t="e">
        <v>#N/A</v>
      </c>
      <c r="F245" t="e">
        <v>#N/A</v>
      </c>
      <c r="G245" t="e">
        <v>#N/A</v>
      </c>
      <c r="H245">
        <v>0</v>
      </c>
      <c r="I245">
        <v>20</v>
      </c>
    </row>
    <row r="246" spans="1:9" x14ac:dyDescent="0.3">
      <c r="A246" s="8">
        <v>43962</v>
      </c>
      <c r="B246" t="s">
        <v>12</v>
      </c>
      <c r="C246">
        <v>9007.5</v>
      </c>
      <c r="D246">
        <v>734335.5</v>
      </c>
      <c r="E246" t="e">
        <v>#N/A</v>
      </c>
      <c r="F246" t="e">
        <v>#N/A</v>
      </c>
      <c r="G246" t="e">
        <v>#N/A</v>
      </c>
      <c r="H246">
        <v>0</v>
      </c>
      <c r="I246">
        <v>20</v>
      </c>
    </row>
    <row r="247" spans="1:9" x14ac:dyDescent="0.3">
      <c r="A247" s="8">
        <v>43965</v>
      </c>
      <c r="B247" t="s">
        <v>12</v>
      </c>
      <c r="C247">
        <v>12037.5</v>
      </c>
      <c r="D247">
        <v>981564</v>
      </c>
      <c r="E247" t="e">
        <v>#N/A</v>
      </c>
      <c r="F247" t="e">
        <v>#N/A</v>
      </c>
      <c r="G247" t="e">
        <v>#N/A</v>
      </c>
      <c r="H247">
        <v>0</v>
      </c>
      <c r="I247">
        <v>20</v>
      </c>
    </row>
    <row r="248" spans="1:9" x14ac:dyDescent="0.3">
      <c r="A248" s="8">
        <v>43966</v>
      </c>
      <c r="B248" t="s">
        <v>12</v>
      </c>
      <c r="C248">
        <v>14421</v>
      </c>
      <c r="D248">
        <v>1150579.5</v>
      </c>
      <c r="E248" t="e">
        <v>#N/A</v>
      </c>
      <c r="F248" t="e">
        <v>#N/A</v>
      </c>
      <c r="G248" t="e">
        <v>#N/A</v>
      </c>
      <c r="H248">
        <v>0</v>
      </c>
      <c r="I248">
        <v>20</v>
      </c>
    </row>
    <row r="249" spans="1:9" x14ac:dyDescent="0.3">
      <c r="A249" s="8">
        <v>43962</v>
      </c>
      <c r="B249" t="s">
        <v>13</v>
      </c>
      <c r="C249">
        <v>42397.5</v>
      </c>
      <c r="D249">
        <v>3911979</v>
      </c>
      <c r="E249" t="e">
        <v>#N/A</v>
      </c>
      <c r="F249" t="e">
        <v>#N/A</v>
      </c>
      <c r="G249" t="e">
        <v>#N/A</v>
      </c>
      <c r="H249">
        <v>0</v>
      </c>
      <c r="I249">
        <v>20</v>
      </c>
    </row>
    <row r="250" spans="1:9" x14ac:dyDescent="0.3">
      <c r="A250" s="8">
        <v>43965</v>
      </c>
      <c r="B250" t="s">
        <v>13</v>
      </c>
      <c r="C250">
        <v>27411</v>
      </c>
      <c r="D250">
        <v>2441520</v>
      </c>
      <c r="E250" t="e">
        <v>#N/A</v>
      </c>
      <c r="F250" t="e">
        <v>#N/A</v>
      </c>
      <c r="G250" t="e">
        <v>#N/A</v>
      </c>
      <c r="H250">
        <v>0</v>
      </c>
      <c r="I250">
        <v>20</v>
      </c>
    </row>
    <row r="251" spans="1:9" x14ac:dyDescent="0.3">
      <c r="A251" s="8">
        <v>43966</v>
      </c>
      <c r="B251" t="s">
        <v>13</v>
      </c>
      <c r="C251">
        <v>32854.5</v>
      </c>
      <c r="D251">
        <v>2949078</v>
      </c>
      <c r="E251" t="e">
        <v>#N/A</v>
      </c>
      <c r="F251" t="e">
        <v>#N/A</v>
      </c>
      <c r="G251" t="e">
        <v>#N/A</v>
      </c>
      <c r="H251">
        <v>0</v>
      </c>
      <c r="I251">
        <v>20</v>
      </c>
    </row>
    <row r="252" spans="1:9" x14ac:dyDescent="0.3">
      <c r="A252" s="8">
        <v>43962</v>
      </c>
      <c r="B252" t="s">
        <v>14</v>
      </c>
      <c r="C252">
        <v>237099</v>
      </c>
      <c r="D252">
        <v>24628233.223949999</v>
      </c>
      <c r="E252" t="e">
        <v>#N/A</v>
      </c>
      <c r="F252" t="e">
        <v>#N/A</v>
      </c>
      <c r="G252" t="e">
        <v>#N/A</v>
      </c>
      <c r="H252">
        <v>0</v>
      </c>
      <c r="I252">
        <v>20</v>
      </c>
    </row>
    <row r="253" spans="1:9" x14ac:dyDescent="0.3">
      <c r="A253" s="8">
        <v>43965</v>
      </c>
      <c r="B253" t="s">
        <v>14</v>
      </c>
      <c r="C253">
        <v>274059</v>
      </c>
      <c r="D253">
        <v>28181292</v>
      </c>
      <c r="E253" t="e">
        <v>#N/A</v>
      </c>
      <c r="F253" t="e">
        <v>#N/A</v>
      </c>
      <c r="G253" t="e">
        <v>#N/A</v>
      </c>
      <c r="H253">
        <v>0</v>
      </c>
      <c r="I253">
        <v>20</v>
      </c>
    </row>
    <row r="254" spans="1:9" x14ac:dyDescent="0.3">
      <c r="A254" s="8">
        <v>43966</v>
      </c>
      <c r="B254" t="s">
        <v>14</v>
      </c>
      <c r="C254">
        <v>318816</v>
      </c>
      <c r="D254">
        <v>32354331</v>
      </c>
      <c r="E254" t="e">
        <v>#N/A</v>
      </c>
      <c r="F254" t="e">
        <v>#N/A</v>
      </c>
      <c r="G254" t="e">
        <v>#N/A</v>
      </c>
      <c r="H254">
        <v>0</v>
      </c>
      <c r="I254">
        <v>20</v>
      </c>
    </row>
    <row r="255" spans="1:9" x14ac:dyDescent="0.3">
      <c r="A255" s="8">
        <v>43962</v>
      </c>
      <c r="B255" t="s">
        <v>15</v>
      </c>
      <c r="C255">
        <v>318565.5</v>
      </c>
      <c r="D255">
        <v>33781581</v>
      </c>
      <c r="E255" t="e">
        <v>#N/A</v>
      </c>
      <c r="F255" t="e">
        <v>#N/A</v>
      </c>
      <c r="G255" t="e">
        <v>#N/A</v>
      </c>
      <c r="H255">
        <v>0</v>
      </c>
      <c r="I255">
        <v>20</v>
      </c>
    </row>
    <row r="256" spans="1:9" x14ac:dyDescent="0.3">
      <c r="A256" s="8">
        <v>43965</v>
      </c>
      <c r="B256" t="s">
        <v>15</v>
      </c>
      <c r="C256">
        <v>358387.5</v>
      </c>
      <c r="D256">
        <v>37963150.5</v>
      </c>
      <c r="E256" t="e">
        <v>#N/A</v>
      </c>
      <c r="F256" t="e">
        <v>#N/A</v>
      </c>
      <c r="G256" t="e">
        <v>#N/A</v>
      </c>
      <c r="H256">
        <v>0</v>
      </c>
      <c r="I256">
        <v>20</v>
      </c>
    </row>
    <row r="257" spans="1:9" x14ac:dyDescent="0.3">
      <c r="A257" s="8">
        <v>43966</v>
      </c>
      <c r="B257" t="s">
        <v>15</v>
      </c>
      <c r="C257">
        <v>403261.5</v>
      </c>
      <c r="D257">
        <v>42271377</v>
      </c>
      <c r="E257" t="e">
        <v>#N/A</v>
      </c>
      <c r="F257" t="e">
        <v>#N/A</v>
      </c>
      <c r="G257" t="e">
        <v>#N/A</v>
      </c>
      <c r="H257">
        <v>0</v>
      </c>
      <c r="I257">
        <v>20</v>
      </c>
    </row>
    <row r="258" spans="1:9" x14ac:dyDescent="0.3">
      <c r="A258" s="8">
        <v>43962</v>
      </c>
      <c r="B258" t="s">
        <v>16</v>
      </c>
      <c r="C258">
        <v>59574</v>
      </c>
      <c r="D258">
        <v>5178169.5</v>
      </c>
      <c r="E258" t="e">
        <v>#N/A</v>
      </c>
      <c r="F258" t="e">
        <v>#N/A</v>
      </c>
      <c r="G258" t="e">
        <v>#N/A</v>
      </c>
      <c r="H258">
        <v>0</v>
      </c>
      <c r="I258">
        <v>20</v>
      </c>
    </row>
    <row r="259" spans="1:9" x14ac:dyDescent="0.3">
      <c r="A259" s="8">
        <v>43965</v>
      </c>
      <c r="B259" t="s">
        <v>16</v>
      </c>
      <c r="C259">
        <v>63645</v>
      </c>
      <c r="D259">
        <v>5366602.5</v>
      </c>
      <c r="E259" t="e">
        <v>#N/A</v>
      </c>
      <c r="F259" t="e">
        <v>#N/A</v>
      </c>
      <c r="G259" t="e">
        <v>#N/A</v>
      </c>
      <c r="H259">
        <v>0</v>
      </c>
      <c r="I259">
        <v>20</v>
      </c>
    </row>
    <row r="260" spans="1:9" x14ac:dyDescent="0.3">
      <c r="A260" s="8">
        <v>43966</v>
      </c>
      <c r="B260" t="s">
        <v>16</v>
      </c>
      <c r="C260">
        <v>75642</v>
      </c>
      <c r="D260">
        <v>6293952</v>
      </c>
      <c r="E260" t="e">
        <v>#N/A</v>
      </c>
      <c r="F260" t="e">
        <v>#N/A</v>
      </c>
      <c r="G260" t="e">
        <v>#N/A</v>
      </c>
      <c r="H260">
        <v>0</v>
      </c>
      <c r="I260">
        <v>20</v>
      </c>
    </row>
    <row r="261" spans="1:9" x14ac:dyDescent="0.3">
      <c r="A261" s="8">
        <v>43962</v>
      </c>
      <c r="B261" t="s">
        <v>17</v>
      </c>
      <c r="C261">
        <v>32733</v>
      </c>
      <c r="D261">
        <v>3079630.5</v>
      </c>
      <c r="E261" t="e">
        <v>#N/A</v>
      </c>
      <c r="F261" t="e">
        <v>#N/A</v>
      </c>
      <c r="G261" t="e">
        <v>#N/A</v>
      </c>
      <c r="H261">
        <v>0</v>
      </c>
      <c r="I261">
        <v>20</v>
      </c>
    </row>
    <row r="262" spans="1:9" x14ac:dyDescent="0.3">
      <c r="A262" s="8">
        <v>43965</v>
      </c>
      <c r="B262" t="s">
        <v>17</v>
      </c>
      <c r="C262">
        <v>33886.5</v>
      </c>
      <c r="D262">
        <v>3166479</v>
      </c>
      <c r="E262" t="e">
        <v>#N/A</v>
      </c>
      <c r="F262" t="e">
        <v>#N/A</v>
      </c>
      <c r="G262" t="e">
        <v>#N/A</v>
      </c>
      <c r="H262">
        <v>0</v>
      </c>
      <c r="I262">
        <v>20</v>
      </c>
    </row>
    <row r="263" spans="1:9" x14ac:dyDescent="0.3">
      <c r="A263" s="8">
        <v>43966</v>
      </c>
      <c r="B263" t="s">
        <v>17</v>
      </c>
      <c r="C263">
        <v>41697</v>
      </c>
      <c r="D263">
        <v>3772258.5</v>
      </c>
      <c r="E263" t="e">
        <v>#N/A</v>
      </c>
      <c r="F263" t="e">
        <v>#N/A</v>
      </c>
      <c r="G263" t="e">
        <v>#N/A</v>
      </c>
      <c r="H263">
        <v>0</v>
      </c>
      <c r="I263">
        <v>20</v>
      </c>
    </row>
    <row r="264" spans="1:9" x14ac:dyDescent="0.3">
      <c r="A264" s="8">
        <v>43962</v>
      </c>
      <c r="B264" t="s">
        <v>18</v>
      </c>
      <c r="C264">
        <v>12238.5</v>
      </c>
      <c r="D264">
        <v>1096002</v>
      </c>
      <c r="E264" t="e">
        <v>#N/A</v>
      </c>
      <c r="F264" t="e">
        <v>#N/A</v>
      </c>
      <c r="G264" t="e">
        <v>#N/A</v>
      </c>
      <c r="H264">
        <v>0</v>
      </c>
      <c r="I264">
        <v>20</v>
      </c>
    </row>
    <row r="265" spans="1:9" x14ac:dyDescent="0.3">
      <c r="A265" s="8">
        <v>43965</v>
      </c>
      <c r="B265" t="s">
        <v>18</v>
      </c>
      <c r="C265">
        <v>14385</v>
      </c>
      <c r="D265">
        <v>1223491.5</v>
      </c>
      <c r="E265" t="e">
        <v>#N/A</v>
      </c>
      <c r="F265" t="e">
        <v>#N/A</v>
      </c>
      <c r="G265" t="e">
        <v>#N/A</v>
      </c>
      <c r="H265">
        <v>0</v>
      </c>
      <c r="I265">
        <v>20</v>
      </c>
    </row>
    <row r="266" spans="1:9" x14ac:dyDescent="0.3">
      <c r="A266" s="8">
        <v>43966</v>
      </c>
      <c r="B266" t="s">
        <v>18</v>
      </c>
      <c r="C266">
        <v>16498.5</v>
      </c>
      <c r="D266">
        <v>1370482.5</v>
      </c>
      <c r="E266" t="e">
        <v>#N/A</v>
      </c>
      <c r="F266" t="e">
        <v>#N/A</v>
      </c>
      <c r="G266" t="e">
        <v>#N/A</v>
      </c>
      <c r="H266">
        <v>0</v>
      </c>
      <c r="I266">
        <v>20</v>
      </c>
    </row>
    <row r="267" spans="1:9" x14ac:dyDescent="0.3">
      <c r="A267" s="8">
        <v>43962</v>
      </c>
      <c r="B267" t="s">
        <v>19</v>
      </c>
      <c r="C267">
        <v>12654</v>
      </c>
      <c r="D267">
        <v>1081158</v>
      </c>
      <c r="E267" t="e">
        <v>#N/A</v>
      </c>
      <c r="F267" t="e">
        <v>#N/A</v>
      </c>
      <c r="G267" t="e">
        <v>#N/A</v>
      </c>
      <c r="H267">
        <v>0</v>
      </c>
      <c r="I267">
        <v>20</v>
      </c>
    </row>
    <row r="268" spans="1:9" x14ac:dyDescent="0.3">
      <c r="A268" s="8">
        <v>43965</v>
      </c>
      <c r="B268" t="s">
        <v>19</v>
      </c>
      <c r="C268">
        <v>11161.5</v>
      </c>
      <c r="D268">
        <v>963502.5</v>
      </c>
      <c r="E268" t="e">
        <v>#N/A</v>
      </c>
      <c r="F268" t="e">
        <v>#N/A</v>
      </c>
      <c r="G268" t="e">
        <v>#N/A</v>
      </c>
      <c r="H268">
        <v>0</v>
      </c>
      <c r="I268">
        <v>20</v>
      </c>
    </row>
    <row r="269" spans="1:9" x14ac:dyDescent="0.3">
      <c r="A269" s="8">
        <v>43966</v>
      </c>
      <c r="B269" t="s">
        <v>19</v>
      </c>
      <c r="C269">
        <v>12229.5</v>
      </c>
      <c r="D269">
        <v>1122730.5</v>
      </c>
      <c r="E269" t="e">
        <v>#N/A</v>
      </c>
      <c r="F269" t="e">
        <v>#N/A</v>
      </c>
      <c r="G269" t="e">
        <v>#N/A</v>
      </c>
      <c r="H269">
        <v>0</v>
      </c>
      <c r="I269">
        <v>20</v>
      </c>
    </row>
    <row r="270" spans="1:9" x14ac:dyDescent="0.3">
      <c r="A270" s="8">
        <v>43962</v>
      </c>
      <c r="B270" t="s">
        <v>20</v>
      </c>
      <c r="C270">
        <v>23629.5</v>
      </c>
      <c r="D270">
        <v>2164365</v>
      </c>
      <c r="E270" t="e">
        <v>#N/A</v>
      </c>
      <c r="F270" t="e">
        <v>#N/A</v>
      </c>
      <c r="G270" t="e">
        <v>#N/A</v>
      </c>
      <c r="H270">
        <v>0</v>
      </c>
      <c r="I270">
        <v>20</v>
      </c>
    </row>
    <row r="271" spans="1:9" x14ac:dyDescent="0.3">
      <c r="A271" s="8">
        <v>43965</v>
      </c>
      <c r="B271" t="s">
        <v>20</v>
      </c>
      <c r="C271">
        <v>25656</v>
      </c>
      <c r="D271">
        <v>2225341.5</v>
      </c>
      <c r="E271" t="e">
        <v>#N/A</v>
      </c>
      <c r="F271" t="e">
        <v>#N/A</v>
      </c>
      <c r="G271" t="e">
        <v>#N/A</v>
      </c>
      <c r="H271">
        <v>0</v>
      </c>
      <c r="I271">
        <v>20</v>
      </c>
    </row>
    <row r="272" spans="1:9" x14ac:dyDescent="0.3">
      <c r="A272" s="8">
        <v>43966</v>
      </c>
      <c r="B272" t="s">
        <v>20</v>
      </c>
      <c r="C272">
        <v>29283</v>
      </c>
      <c r="D272">
        <v>2477487</v>
      </c>
      <c r="E272" t="e">
        <v>#N/A</v>
      </c>
      <c r="F272" t="e">
        <v>#N/A</v>
      </c>
      <c r="G272" t="e">
        <v>#N/A</v>
      </c>
      <c r="H272">
        <v>0</v>
      </c>
      <c r="I272">
        <v>20</v>
      </c>
    </row>
    <row r="273" spans="1:9" x14ac:dyDescent="0.3">
      <c r="A273" s="8">
        <v>43962</v>
      </c>
      <c r="B273" t="s">
        <v>21</v>
      </c>
      <c r="C273">
        <v>175293</v>
      </c>
      <c r="D273">
        <v>17919144</v>
      </c>
      <c r="E273" t="e">
        <v>#N/A</v>
      </c>
      <c r="F273" t="e">
        <v>#N/A</v>
      </c>
      <c r="G273" t="e">
        <v>#N/A</v>
      </c>
      <c r="H273">
        <v>0</v>
      </c>
      <c r="I273">
        <v>20</v>
      </c>
    </row>
    <row r="274" spans="1:9" x14ac:dyDescent="0.3">
      <c r="A274" s="8">
        <v>43965</v>
      </c>
      <c r="B274" t="s">
        <v>21</v>
      </c>
      <c r="C274">
        <v>197946</v>
      </c>
      <c r="D274">
        <v>19942435.5</v>
      </c>
      <c r="E274" t="e">
        <v>#N/A</v>
      </c>
      <c r="F274" t="e">
        <v>#N/A</v>
      </c>
      <c r="G274" t="e">
        <v>#N/A</v>
      </c>
      <c r="H274">
        <v>0</v>
      </c>
      <c r="I274">
        <v>20</v>
      </c>
    </row>
    <row r="275" spans="1:9" x14ac:dyDescent="0.3">
      <c r="A275" s="8">
        <v>43966</v>
      </c>
      <c r="B275" t="s">
        <v>21</v>
      </c>
      <c r="C275">
        <v>230896.5</v>
      </c>
      <c r="D275">
        <v>23085222</v>
      </c>
      <c r="E275" t="e">
        <v>#N/A</v>
      </c>
      <c r="F275" t="e">
        <v>#N/A</v>
      </c>
      <c r="G275" t="e">
        <v>#N/A</v>
      </c>
      <c r="H275">
        <v>0</v>
      </c>
      <c r="I275">
        <v>20</v>
      </c>
    </row>
    <row r="276" spans="1:9" x14ac:dyDescent="0.3">
      <c r="A276" s="8">
        <v>43962</v>
      </c>
      <c r="B276" t="s">
        <v>22</v>
      </c>
      <c r="C276">
        <v>166948.5</v>
      </c>
      <c r="D276">
        <v>16971231</v>
      </c>
      <c r="E276" t="e">
        <v>#N/A</v>
      </c>
      <c r="F276" t="e">
        <v>#N/A</v>
      </c>
      <c r="G276" t="e">
        <v>#N/A</v>
      </c>
      <c r="H276">
        <v>0</v>
      </c>
      <c r="I276">
        <v>20</v>
      </c>
    </row>
    <row r="277" spans="1:9" x14ac:dyDescent="0.3">
      <c r="A277" s="8">
        <v>43965</v>
      </c>
      <c r="B277" t="s">
        <v>22</v>
      </c>
      <c r="C277">
        <v>186496.5</v>
      </c>
      <c r="D277">
        <v>18640998</v>
      </c>
      <c r="E277" t="e">
        <v>#N/A</v>
      </c>
      <c r="F277" t="e">
        <v>#N/A</v>
      </c>
      <c r="G277" t="e">
        <v>#N/A</v>
      </c>
      <c r="H277">
        <v>0</v>
      </c>
      <c r="I277">
        <v>20</v>
      </c>
    </row>
    <row r="278" spans="1:9" x14ac:dyDescent="0.3">
      <c r="A278" s="8">
        <v>43966</v>
      </c>
      <c r="B278" t="s">
        <v>22</v>
      </c>
      <c r="C278">
        <v>219772.5</v>
      </c>
      <c r="D278">
        <v>21895294.5</v>
      </c>
      <c r="E278" t="e">
        <v>#N/A</v>
      </c>
      <c r="F278" t="e">
        <v>#N/A</v>
      </c>
      <c r="G278" t="e">
        <v>#N/A</v>
      </c>
      <c r="H278">
        <v>0</v>
      </c>
      <c r="I278">
        <v>20</v>
      </c>
    </row>
    <row r="279" spans="1:9" x14ac:dyDescent="0.3">
      <c r="A279" s="8">
        <v>43962</v>
      </c>
      <c r="B279" t="s">
        <v>23</v>
      </c>
      <c r="C279">
        <v>10941</v>
      </c>
      <c r="D279">
        <v>880356</v>
      </c>
      <c r="E279" t="e">
        <v>#N/A</v>
      </c>
      <c r="F279" t="e">
        <v>#N/A</v>
      </c>
      <c r="G279" t="e">
        <v>#N/A</v>
      </c>
      <c r="H279">
        <v>0</v>
      </c>
      <c r="I279">
        <v>20</v>
      </c>
    </row>
    <row r="280" spans="1:9" x14ac:dyDescent="0.3">
      <c r="A280" s="8">
        <v>43965</v>
      </c>
      <c r="B280" t="s">
        <v>23</v>
      </c>
      <c r="C280">
        <v>13810.5</v>
      </c>
      <c r="D280">
        <v>1131676.5</v>
      </c>
      <c r="E280" t="e">
        <v>#N/A</v>
      </c>
      <c r="F280" t="e">
        <v>#N/A</v>
      </c>
      <c r="G280" t="e">
        <v>#N/A</v>
      </c>
      <c r="H280">
        <v>0</v>
      </c>
      <c r="I280">
        <v>20</v>
      </c>
    </row>
    <row r="281" spans="1:9" x14ac:dyDescent="0.3">
      <c r="A281" s="8">
        <v>43966</v>
      </c>
      <c r="B281" t="s">
        <v>23</v>
      </c>
      <c r="C281">
        <v>13752</v>
      </c>
      <c r="D281">
        <v>1091040</v>
      </c>
      <c r="E281" t="e">
        <v>#N/A</v>
      </c>
      <c r="F281" t="e">
        <v>#N/A</v>
      </c>
      <c r="G281" t="e">
        <v>#N/A</v>
      </c>
      <c r="H281">
        <v>0</v>
      </c>
      <c r="I281">
        <v>20</v>
      </c>
    </row>
    <row r="282" spans="1:9" x14ac:dyDescent="0.3">
      <c r="A282" s="8">
        <v>43970</v>
      </c>
      <c r="B282" t="s">
        <v>10</v>
      </c>
      <c r="C282">
        <v>31842</v>
      </c>
      <c r="D282">
        <v>2771116.5</v>
      </c>
      <c r="E282">
        <v>21</v>
      </c>
      <c r="F282">
        <v>1860</v>
      </c>
      <c r="G282">
        <v>1704</v>
      </c>
      <c r="H282">
        <v>131957.92857142858</v>
      </c>
      <c r="I282">
        <v>21</v>
      </c>
    </row>
    <row r="283" spans="1:9" x14ac:dyDescent="0.3">
      <c r="A283" s="8">
        <v>43972</v>
      </c>
      <c r="B283" t="s">
        <v>10</v>
      </c>
      <c r="C283">
        <v>31272</v>
      </c>
      <c r="D283">
        <v>2744382</v>
      </c>
      <c r="E283">
        <v>21</v>
      </c>
      <c r="F283">
        <v>1787</v>
      </c>
      <c r="G283">
        <v>1626</v>
      </c>
      <c r="H283">
        <v>130684.85714285714</v>
      </c>
      <c r="I283">
        <v>21</v>
      </c>
    </row>
    <row r="284" spans="1:9" x14ac:dyDescent="0.3">
      <c r="A284" s="8">
        <v>43971</v>
      </c>
      <c r="B284" t="s">
        <v>10</v>
      </c>
      <c r="C284">
        <v>34077</v>
      </c>
      <c r="D284">
        <v>2929330.5</v>
      </c>
      <c r="E284">
        <v>21</v>
      </c>
      <c r="F284">
        <v>1921</v>
      </c>
      <c r="G284">
        <v>1767</v>
      </c>
      <c r="H284">
        <v>139491.92857142858</v>
      </c>
      <c r="I284">
        <v>21</v>
      </c>
    </row>
    <row r="285" spans="1:9" x14ac:dyDescent="0.3">
      <c r="A285" s="8">
        <v>43974</v>
      </c>
      <c r="B285" t="s">
        <v>10</v>
      </c>
      <c r="C285">
        <v>42703.5</v>
      </c>
      <c r="D285">
        <v>3628726.5</v>
      </c>
      <c r="E285">
        <v>21</v>
      </c>
      <c r="F285">
        <v>2340</v>
      </c>
      <c r="G285">
        <v>2146</v>
      </c>
      <c r="H285">
        <v>172796.5</v>
      </c>
      <c r="I285">
        <v>21</v>
      </c>
    </row>
    <row r="286" spans="1:9" x14ac:dyDescent="0.3">
      <c r="A286" s="8">
        <v>43975</v>
      </c>
      <c r="B286" t="s">
        <v>10</v>
      </c>
      <c r="C286">
        <v>34303.5</v>
      </c>
      <c r="D286">
        <v>2924746.5</v>
      </c>
      <c r="E286">
        <v>20</v>
      </c>
      <c r="F286">
        <v>1999</v>
      </c>
      <c r="G286">
        <v>1829</v>
      </c>
      <c r="H286">
        <v>146237.32500000001</v>
      </c>
      <c r="I286">
        <v>21</v>
      </c>
    </row>
    <row r="287" spans="1:9" x14ac:dyDescent="0.3">
      <c r="A287" s="8">
        <v>43970</v>
      </c>
      <c r="B287" t="s">
        <v>11</v>
      </c>
      <c r="C287">
        <v>84024</v>
      </c>
      <c r="D287">
        <v>6815511</v>
      </c>
      <c r="E287">
        <v>31</v>
      </c>
      <c r="F287">
        <v>5389</v>
      </c>
      <c r="G287">
        <v>5024</v>
      </c>
      <c r="H287">
        <v>219855.19354838709</v>
      </c>
      <c r="I287">
        <v>21</v>
      </c>
    </row>
    <row r="288" spans="1:9" x14ac:dyDescent="0.3">
      <c r="A288" s="8">
        <v>43972</v>
      </c>
      <c r="B288" t="s">
        <v>11</v>
      </c>
      <c r="C288">
        <v>79485</v>
      </c>
      <c r="D288">
        <v>6633847.5</v>
      </c>
      <c r="E288">
        <v>31</v>
      </c>
      <c r="F288">
        <v>5207</v>
      </c>
      <c r="G288">
        <v>4868</v>
      </c>
      <c r="H288">
        <v>213995.0806451613</v>
      </c>
      <c r="I288">
        <v>21</v>
      </c>
    </row>
    <row r="289" spans="1:9" x14ac:dyDescent="0.3">
      <c r="A289" s="8">
        <v>43971</v>
      </c>
      <c r="B289" t="s">
        <v>11</v>
      </c>
      <c r="C289">
        <v>93313.5</v>
      </c>
      <c r="D289">
        <v>7247575.5</v>
      </c>
      <c r="E289">
        <v>31</v>
      </c>
      <c r="F289">
        <v>5698</v>
      </c>
      <c r="G289">
        <v>5258</v>
      </c>
      <c r="H289">
        <v>233792.75806451612</v>
      </c>
      <c r="I289">
        <v>21</v>
      </c>
    </row>
    <row r="290" spans="1:9" x14ac:dyDescent="0.3">
      <c r="A290" s="8">
        <v>43974</v>
      </c>
      <c r="B290" t="s">
        <v>11</v>
      </c>
      <c r="C290">
        <v>102889.5</v>
      </c>
      <c r="D290">
        <v>8089143</v>
      </c>
      <c r="E290">
        <v>31</v>
      </c>
      <c r="F290">
        <v>6276</v>
      </c>
      <c r="G290">
        <v>5801</v>
      </c>
      <c r="H290">
        <v>260940.09677419355</v>
      </c>
      <c r="I290">
        <v>21</v>
      </c>
    </row>
    <row r="291" spans="1:9" x14ac:dyDescent="0.3">
      <c r="A291" s="8">
        <v>43975</v>
      </c>
      <c r="B291" t="s">
        <v>11</v>
      </c>
      <c r="C291">
        <v>76663.5</v>
      </c>
      <c r="D291">
        <v>6451032</v>
      </c>
      <c r="E291">
        <v>31</v>
      </c>
      <c r="F291">
        <v>5035</v>
      </c>
      <c r="G291">
        <v>4683</v>
      </c>
      <c r="H291">
        <v>208097.80645161291</v>
      </c>
      <c r="I291">
        <v>21</v>
      </c>
    </row>
    <row r="292" spans="1:9" x14ac:dyDescent="0.3">
      <c r="A292" s="8">
        <v>43970</v>
      </c>
      <c r="B292" t="s">
        <v>12</v>
      </c>
      <c r="C292">
        <v>11526</v>
      </c>
      <c r="D292">
        <v>938764.5</v>
      </c>
      <c r="E292">
        <v>10</v>
      </c>
      <c r="F292">
        <v>649</v>
      </c>
      <c r="G292">
        <v>568</v>
      </c>
      <c r="H292">
        <v>93876.45</v>
      </c>
      <c r="I292">
        <v>21</v>
      </c>
    </row>
    <row r="293" spans="1:9" x14ac:dyDescent="0.3">
      <c r="A293" s="8">
        <v>43972</v>
      </c>
      <c r="B293" t="s">
        <v>12</v>
      </c>
      <c r="C293">
        <v>11250</v>
      </c>
      <c r="D293">
        <v>935523</v>
      </c>
      <c r="E293">
        <v>10</v>
      </c>
      <c r="F293">
        <v>677</v>
      </c>
      <c r="G293">
        <v>591</v>
      </c>
      <c r="H293">
        <v>93552.3</v>
      </c>
      <c r="I293">
        <v>21</v>
      </c>
    </row>
    <row r="294" spans="1:9" x14ac:dyDescent="0.3">
      <c r="A294" s="8">
        <v>43971</v>
      </c>
      <c r="B294" t="s">
        <v>12</v>
      </c>
      <c r="C294">
        <v>13063.5</v>
      </c>
      <c r="D294">
        <v>1037247</v>
      </c>
      <c r="E294">
        <v>10</v>
      </c>
      <c r="F294">
        <v>745</v>
      </c>
      <c r="G294">
        <v>654</v>
      </c>
      <c r="H294">
        <v>103724.7</v>
      </c>
      <c r="I294">
        <v>21</v>
      </c>
    </row>
    <row r="295" spans="1:9" x14ac:dyDescent="0.3">
      <c r="A295" s="8">
        <v>43974</v>
      </c>
      <c r="B295" t="s">
        <v>12</v>
      </c>
      <c r="C295">
        <v>14773.5</v>
      </c>
      <c r="D295">
        <v>1241383.5</v>
      </c>
      <c r="E295">
        <v>10</v>
      </c>
      <c r="F295">
        <v>828</v>
      </c>
      <c r="G295">
        <v>734</v>
      </c>
      <c r="H295">
        <v>124138.35</v>
      </c>
      <c r="I295">
        <v>21</v>
      </c>
    </row>
    <row r="296" spans="1:9" x14ac:dyDescent="0.3">
      <c r="A296" s="8">
        <v>43975</v>
      </c>
      <c r="B296" t="s">
        <v>12</v>
      </c>
      <c r="C296">
        <v>9994.5</v>
      </c>
      <c r="D296">
        <v>828984</v>
      </c>
      <c r="E296">
        <v>10</v>
      </c>
      <c r="F296">
        <v>639</v>
      </c>
      <c r="G296">
        <v>557</v>
      </c>
      <c r="H296">
        <v>82898.399999999994</v>
      </c>
      <c r="I296">
        <v>21</v>
      </c>
    </row>
    <row r="297" spans="1:9" x14ac:dyDescent="0.3">
      <c r="A297" s="8">
        <v>43970</v>
      </c>
      <c r="B297" t="s">
        <v>13</v>
      </c>
      <c r="C297">
        <v>32434.5</v>
      </c>
      <c r="D297">
        <v>2865337.5</v>
      </c>
      <c r="E297">
        <v>19</v>
      </c>
      <c r="F297">
        <v>1999</v>
      </c>
      <c r="G297">
        <v>1799</v>
      </c>
      <c r="H297">
        <v>150807.23684210525</v>
      </c>
      <c r="I297">
        <v>21</v>
      </c>
    </row>
    <row r="298" spans="1:9" x14ac:dyDescent="0.3">
      <c r="A298" s="8">
        <v>43972</v>
      </c>
      <c r="B298" t="s">
        <v>13</v>
      </c>
      <c r="C298">
        <v>31707</v>
      </c>
      <c r="D298">
        <v>2853181.5</v>
      </c>
      <c r="E298">
        <v>19</v>
      </c>
      <c r="F298">
        <v>1949</v>
      </c>
      <c r="G298">
        <v>1724</v>
      </c>
      <c r="H298">
        <v>150167.44736842104</v>
      </c>
      <c r="I298">
        <v>21</v>
      </c>
    </row>
    <row r="299" spans="1:9" x14ac:dyDescent="0.3">
      <c r="A299" s="8">
        <v>43971</v>
      </c>
      <c r="B299" t="s">
        <v>13</v>
      </c>
      <c r="C299">
        <v>29955</v>
      </c>
      <c r="D299">
        <v>2692230</v>
      </c>
      <c r="E299">
        <v>19</v>
      </c>
      <c r="F299">
        <v>1889</v>
      </c>
      <c r="G299">
        <v>1690</v>
      </c>
      <c r="H299">
        <v>141696.31578947368</v>
      </c>
      <c r="I299">
        <v>21</v>
      </c>
    </row>
    <row r="300" spans="1:9" x14ac:dyDescent="0.3">
      <c r="A300" s="8">
        <v>43974</v>
      </c>
      <c r="B300" t="s">
        <v>13</v>
      </c>
      <c r="C300">
        <v>38176.5</v>
      </c>
      <c r="D300">
        <v>3385372.5</v>
      </c>
      <c r="E300">
        <v>20</v>
      </c>
      <c r="F300">
        <v>2266</v>
      </c>
      <c r="G300">
        <v>1993</v>
      </c>
      <c r="H300">
        <v>169268.625</v>
      </c>
      <c r="I300">
        <v>21</v>
      </c>
    </row>
    <row r="301" spans="1:9" x14ac:dyDescent="0.3">
      <c r="A301" s="8">
        <v>43975</v>
      </c>
      <c r="B301" t="s">
        <v>13</v>
      </c>
      <c r="C301">
        <v>31854</v>
      </c>
      <c r="D301">
        <v>2915533.5</v>
      </c>
      <c r="E301">
        <v>20</v>
      </c>
      <c r="F301">
        <v>2015</v>
      </c>
      <c r="G301">
        <v>1803</v>
      </c>
      <c r="H301">
        <v>145776.67499999999</v>
      </c>
      <c r="I301">
        <v>21</v>
      </c>
    </row>
    <row r="302" spans="1:9" x14ac:dyDescent="0.3">
      <c r="A302" s="8">
        <v>43970</v>
      </c>
      <c r="B302" t="s">
        <v>14</v>
      </c>
      <c r="C302">
        <v>276568.5</v>
      </c>
      <c r="D302">
        <v>27093624</v>
      </c>
      <c r="E302">
        <v>129</v>
      </c>
      <c r="F302">
        <v>16191</v>
      </c>
      <c r="G302">
        <v>15102</v>
      </c>
      <c r="H302">
        <v>210028.09302325582</v>
      </c>
      <c r="I302">
        <v>21</v>
      </c>
    </row>
    <row r="303" spans="1:9" x14ac:dyDescent="0.3">
      <c r="A303" s="8">
        <v>43972</v>
      </c>
      <c r="B303" t="s">
        <v>14</v>
      </c>
      <c r="C303">
        <v>288936</v>
      </c>
      <c r="D303">
        <v>27852900</v>
      </c>
      <c r="E303">
        <v>129</v>
      </c>
      <c r="F303">
        <v>16373</v>
      </c>
      <c r="G303">
        <v>15223</v>
      </c>
      <c r="H303">
        <v>215913.95348837209</v>
      </c>
      <c r="I303">
        <v>21</v>
      </c>
    </row>
    <row r="304" spans="1:9" x14ac:dyDescent="0.3">
      <c r="A304" s="8">
        <v>43971</v>
      </c>
      <c r="B304" t="s">
        <v>14</v>
      </c>
      <c r="C304">
        <v>300151.5</v>
      </c>
      <c r="D304">
        <v>29368771.617449999</v>
      </c>
      <c r="E304">
        <v>129</v>
      </c>
      <c r="F304">
        <v>17095</v>
      </c>
      <c r="G304">
        <v>15919</v>
      </c>
      <c r="H304">
        <v>227664.8962593023</v>
      </c>
      <c r="I304">
        <v>21</v>
      </c>
    </row>
    <row r="305" spans="1:9" x14ac:dyDescent="0.3">
      <c r="A305" s="8">
        <v>43974</v>
      </c>
      <c r="B305" t="s">
        <v>14</v>
      </c>
      <c r="C305">
        <v>356982</v>
      </c>
      <c r="D305">
        <v>35103926.711549997</v>
      </c>
      <c r="E305">
        <v>129</v>
      </c>
      <c r="F305">
        <v>19856</v>
      </c>
      <c r="G305">
        <v>18325</v>
      </c>
      <c r="H305">
        <v>272123.46288023255</v>
      </c>
      <c r="I305">
        <v>21</v>
      </c>
    </row>
    <row r="306" spans="1:9" x14ac:dyDescent="0.3">
      <c r="A306" s="8">
        <v>43975</v>
      </c>
      <c r="B306" t="s">
        <v>14</v>
      </c>
      <c r="C306">
        <v>287740.5</v>
      </c>
      <c r="D306">
        <v>28188534</v>
      </c>
      <c r="E306">
        <v>129</v>
      </c>
      <c r="F306">
        <v>16432</v>
      </c>
      <c r="G306">
        <v>15345</v>
      </c>
      <c r="H306">
        <v>218515.76744186046</v>
      </c>
      <c r="I306">
        <v>21</v>
      </c>
    </row>
    <row r="307" spans="1:9" x14ac:dyDescent="0.3">
      <c r="A307" s="8">
        <v>43970</v>
      </c>
      <c r="B307" t="s">
        <v>15</v>
      </c>
      <c r="C307">
        <v>362536.5</v>
      </c>
      <c r="D307">
        <v>37023243</v>
      </c>
      <c r="E307">
        <v>125</v>
      </c>
      <c r="F307">
        <v>20771</v>
      </c>
      <c r="G307">
        <v>19338</v>
      </c>
      <c r="H307">
        <v>296185.94400000002</v>
      </c>
      <c r="I307">
        <v>21</v>
      </c>
    </row>
    <row r="308" spans="1:9" x14ac:dyDescent="0.3">
      <c r="A308" s="8">
        <v>43972</v>
      </c>
      <c r="B308" t="s">
        <v>15</v>
      </c>
      <c r="C308">
        <v>378043.5</v>
      </c>
      <c r="D308">
        <v>37902156.57</v>
      </c>
      <c r="E308">
        <v>125</v>
      </c>
      <c r="F308">
        <v>20911</v>
      </c>
      <c r="G308">
        <v>19358</v>
      </c>
      <c r="H308">
        <v>303217.25255999999</v>
      </c>
      <c r="I308">
        <v>21</v>
      </c>
    </row>
    <row r="309" spans="1:9" x14ac:dyDescent="0.3">
      <c r="A309" s="8">
        <v>43971</v>
      </c>
      <c r="B309" t="s">
        <v>15</v>
      </c>
      <c r="C309">
        <v>388668</v>
      </c>
      <c r="D309">
        <v>39639309</v>
      </c>
      <c r="E309">
        <v>125</v>
      </c>
      <c r="F309">
        <v>21674</v>
      </c>
      <c r="G309">
        <v>20155</v>
      </c>
      <c r="H309">
        <v>317114.47200000001</v>
      </c>
      <c r="I309">
        <v>21</v>
      </c>
    </row>
    <row r="310" spans="1:9" x14ac:dyDescent="0.3">
      <c r="A310" s="8">
        <v>43974</v>
      </c>
      <c r="B310" t="s">
        <v>15</v>
      </c>
      <c r="C310">
        <v>456885</v>
      </c>
      <c r="D310">
        <v>46408080</v>
      </c>
      <c r="E310">
        <v>125</v>
      </c>
      <c r="F310">
        <v>24574</v>
      </c>
      <c r="G310">
        <v>22609</v>
      </c>
      <c r="H310">
        <v>371264.64</v>
      </c>
      <c r="I310">
        <v>21</v>
      </c>
    </row>
    <row r="311" spans="1:9" x14ac:dyDescent="0.3">
      <c r="A311" s="8">
        <v>43975</v>
      </c>
      <c r="B311" t="s">
        <v>15</v>
      </c>
      <c r="C311">
        <v>375744</v>
      </c>
      <c r="D311">
        <v>38191381.5</v>
      </c>
      <c r="E311">
        <v>125</v>
      </c>
      <c r="F311">
        <v>21004</v>
      </c>
      <c r="G311">
        <v>19556</v>
      </c>
      <c r="H311">
        <v>305531.05200000003</v>
      </c>
      <c r="I311">
        <v>21</v>
      </c>
    </row>
    <row r="312" spans="1:9" x14ac:dyDescent="0.3">
      <c r="A312" s="8">
        <v>43970</v>
      </c>
      <c r="B312" t="s">
        <v>16</v>
      </c>
      <c r="C312">
        <v>75796.5</v>
      </c>
      <c r="D312">
        <v>6173463</v>
      </c>
      <c r="E312">
        <v>36</v>
      </c>
      <c r="F312">
        <v>5094</v>
      </c>
      <c r="G312">
        <v>4716</v>
      </c>
      <c r="H312">
        <v>171485.08333333334</v>
      </c>
      <c r="I312">
        <v>21</v>
      </c>
    </row>
    <row r="313" spans="1:9" x14ac:dyDescent="0.3">
      <c r="A313" s="8">
        <v>43972</v>
      </c>
      <c r="B313" t="s">
        <v>16</v>
      </c>
      <c r="C313">
        <v>73126.5</v>
      </c>
      <c r="D313">
        <v>5864085</v>
      </c>
      <c r="E313">
        <v>36</v>
      </c>
      <c r="F313">
        <v>4816</v>
      </c>
      <c r="G313">
        <v>4452</v>
      </c>
      <c r="H313">
        <v>162891.25</v>
      </c>
      <c r="I313">
        <v>21</v>
      </c>
    </row>
    <row r="314" spans="1:9" x14ac:dyDescent="0.3">
      <c r="A314" s="8">
        <v>43971</v>
      </c>
      <c r="B314" t="s">
        <v>16</v>
      </c>
      <c r="C314">
        <v>99631.5</v>
      </c>
      <c r="D314">
        <v>7121946</v>
      </c>
      <c r="E314">
        <v>36</v>
      </c>
      <c r="F314">
        <v>5914</v>
      </c>
      <c r="G314">
        <v>5384</v>
      </c>
      <c r="H314">
        <v>197831.83333333334</v>
      </c>
      <c r="I314">
        <v>21</v>
      </c>
    </row>
    <row r="315" spans="1:9" x14ac:dyDescent="0.3">
      <c r="A315" s="8">
        <v>43974</v>
      </c>
      <c r="B315" t="s">
        <v>16</v>
      </c>
      <c r="C315">
        <v>89556</v>
      </c>
      <c r="D315">
        <v>7173117</v>
      </c>
      <c r="E315">
        <v>36</v>
      </c>
      <c r="F315">
        <v>5651</v>
      </c>
      <c r="G315">
        <v>5212</v>
      </c>
      <c r="H315">
        <v>199253.25</v>
      </c>
      <c r="I315">
        <v>21</v>
      </c>
    </row>
    <row r="316" spans="1:9" x14ac:dyDescent="0.3">
      <c r="A316" s="8">
        <v>43975</v>
      </c>
      <c r="B316" t="s">
        <v>16</v>
      </c>
      <c r="C316">
        <v>74649</v>
      </c>
      <c r="D316">
        <v>6098236.5</v>
      </c>
      <c r="E316">
        <v>36</v>
      </c>
      <c r="F316">
        <v>4915</v>
      </c>
      <c r="G316">
        <v>4562</v>
      </c>
      <c r="H316">
        <v>169395.45833333334</v>
      </c>
      <c r="I316">
        <v>21</v>
      </c>
    </row>
    <row r="317" spans="1:9" x14ac:dyDescent="0.3">
      <c r="A317" s="8">
        <v>43970</v>
      </c>
      <c r="B317" t="s">
        <v>17</v>
      </c>
      <c r="C317">
        <v>38250</v>
      </c>
      <c r="D317">
        <v>3552937.5</v>
      </c>
      <c r="E317">
        <v>21</v>
      </c>
      <c r="F317">
        <v>2245</v>
      </c>
      <c r="G317">
        <v>2053</v>
      </c>
      <c r="H317">
        <v>169187.5</v>
      </c>
      <c r="I317">
        <v>21</v>
      </c>
    </row>
    <row r="318" spans="1:9" x14ac:dyDescent="0.3">
      <c r="A318" s="8">
        <v>43972</v>
      </c>
      <c r="B318" t="s">
        <v>17</v>
      </c>
      <c r="C318">
        <v>40819.5</v>
      </c>
      <c r="D318">
        <v>3810394.5</v>
      </c>
      <c r="E318">
        <v>21</v>
      </c>
      <c r="F318">
        <v>2335</v>
      </c>
      <c r="G318">
        <v>2126</v>
      </c>
      <c r="H318">
        <v>181447.35714285713</v>
      </c>
      <c r="I318">
        <v>21</v>
      </c>
    </row>
    <row r="319" spans="1:9" x14ac:dyDescent="0.3">
      <c r="A319" s="8">
        <v>43971</v>
      </c>
      <c r="B319" t="s">
        <v>17</v>
      </c>
      <c r="C319">
        <v>41391</v>
      </c>
      <c r="D319">
        <v>3918987</v>
      </c>
      <c r="E319">
        <v>21</v>
      </c>
      <c r="F319">
        <v>2410</v>
      </c>
      <c r="G319">
        <v>2202</v>
      </c>
      <c r="H319">
        <v>186618.42857142858</v>
      </c>
      <c r="I319">
        <v>21</v>
      </c>
    </row>
    <row r="320" spans="1:9" x14ac:dyDescent="0.3">
      <c r="A320" s="8">
        <v>43974</v>
      </c>
      <c r="B320" t="s">
        <v>17</v>
      </c>
      <c r="C320">
        <v>42999</v>
      </c>
      <c r="D320">
        <v>3883215</v>
      </c>
      <c r="E320">
        <v>21</v>
      </c>
      <c r="F320">
        <v>2460</v>
      </c>
      <c r="G320">
        <v>2226</v>
      </c>
      <c r="H320">
        <v>184915</v>
      </c>
      <c r="I320">
        <v>21</v>
      </c>
    </row>
    <row r="321" spans="1:9" x14ac:dyDescent="0.3">
      <c r="A321" s="8">
        <v>43975</v>
      </c>
      <c r="B321" t="s">
        <v>17</v>
      </c>
      <c r="C321">
        <v>38194.5</v>
      </c>
      <c r="D321">
        <v>3449302.5</v>
      </c>
      <c r="E321">
        <v>21</v>
      </c>
      <c r="F321">
        <v>2254</v>
      </c>
      <c r="G321">
        <v>2061</v>
      </c>
      <c r="H321">
        <v>164252.5</v>
      </c>
      <c r="I321">
        <v>21</v>
      </c>
    </row>
    <row r="322" spans="1:9" x14ac:dyDescent="0.3">
      <c r="A322" s="8">
        <v>43970</v>
      </c>
      <c r="B322" t="s">
        <v>18</v>
      </c>
      <c r="C322">
        <v>16638</v>
      </c>
      <c r="D322">
        <v>1364847</v>
      </c>
      <c r="E322">
        <v>16</v>
      </c>
      <c r="F322">
        <v>1012</v>
      </c>
      <c r="G322">
        <v>900</v>
      </c>
      <c r="H322">
        <v>85302.9375</v>
      </c>
      <c r="I322">
        <v>21</v>
      </c>
    </row>
    <row r="323" spans="1:9" x14ac:dyDescent="0.3">
      <c r="A323" s="8">
        <v>43972</v>
      </c>
      <c r="B323" t="s">
        <v>18</v>
      </c>
      <c r="C323">
        <v>16554</v>
      </c>
      <c r="D323">
        <v>1380751.5</v>
      </c>
      <c r="E323">
        <v>17</v>
      </c>
      <c r="F323">
        <v>1045</v>
      </c>
      <c r="G323">
        <v>930</v>
      </c>
      <c r="H323">
        <v>81220.676470588238</v>
      </c>
      <c r="I323">
        <v>21</v>
      </c>
    </row>
    <row r="324" spans="1:9" x14ac:dyDescent="0.3">
      <c r="A324" s="8">
        <v>43971</v>
      </c>
      <c r="B324" t="s">
        <v>18</v>
      </c>
      <c r="C324">
        <v>17329.5</v>
      </c>
      <c r="D324">
        <v>1430254.5</v>
      </c>
      <c r="E324">
        <v>16</v>
      </c>
      <c r="F324">
        <v>1050</v>
      </c>
      <c r="G324">
        <v>938</v>
      </c>
      <c r="H324">
        <v>89390.90625</v>
      </c>
      <c r="I324">
        <v>21</v>
      </c>
    </row>
    <row r="325" spans="1:9" x14ac:dyDescent="0.3">
      <c r="A325" s="8">
        <v>43974</v>
      </c>
      <c r="B325" t="s">
        <v>18</v>
      </c>
      <c r="C325">
        <v>21958.5</v>
      </c>
      <c r="D325">
        <v>1854001.5</v>
      </c>
      <c r="E325">
        <v>17</v>
      </c>
      <c r="F325">
        <v>1294</v>
      </c>
      <c r="G325">
        <v>1155</v>
      </c>
      <c r="H325">
        <v>109058.91176470589</v>
      </c>
      <c r="I325">
        <v>21</v>
      </c>
    </row>
    <row r="326" spans="1:9" x14ac:dyDescent="0.3">
      <c r="A326" s="8">
        <v>43975</v>
      </c>
      <c r="B326" t="s">
        <v>18</v>
      </c>
      <c r="C326">
        <v>18075</v>
      </c>
      <c r="D326">
        <v>1548099</v>
      </c>
      <c r="E326">
        <v>17</v>
      </c>
      <c r="F326">
        <v>1128</v>
      </c>
      <c r="G326">
        <v>1001</v>
      </c>
      <c r="H326">
        <v>91064.647058823524</v>
      </c>
      <c r="I326">
        <v>21</v>
      </c>
    </row>
    <row r="327" spans="1:9" x14ac:dyDescent="0.3">
      <c r="A327" s="8">
        <v>43970</v>
      </c>
      <c r="B327" t="s">
        <v>19</v>
      </c>
      <c r="C327">
        <v>16237.5</v>
      </c>
      <c r="D327">
        <v>1403047.5</v>
      </c>
      <c r="E327">
        <v>15</v>
      </c>
      <c r="F327">
        <v>930</v>
      </c>
      <c r="G327">
        <v>827</v>
      </c>
      <c r="H327">
        <v>93536.5</v>
      </c>
      <c r="I327">
        <v>21</v>
      </c>
    </row>
    <row r="328" spans="1:9" x14ac:dyDescent="0.3">
      <c r="A328" s="8">
        <v>43972</v>
      </c>
      <c r="B328" t="s">
        <v>19</v>
      </c>
      <c r="C328">
        <v>12135</v>
      </c>
      <c r="D328">
        <v>1103623.5</v>
      </c>
      <c r="E328">
        <v>15</v>
      </c>
      <c r="F328">
        <v>749</v>
      </c>
      <c r="G328">
        <v>652</v>
      </c>
      <c r="H328">
        <v>73574.899999999994</v>
      </c>
      <c r="I328">
        <v>21</v>
      </c>
    </row>
    <row r="329" spans="1:9" x14ac:dyDescent="0.3">
      <c r="A329" s="8">
        <v>43971</v>
      </c>
      <c r="B329" t="s">
        <v>19</v>
      </c>
      <c r="C329">
        <v>12630</v>
      </c>
      <c r="D329">
        <v>1104858</v>
      </c>
      <c r="E329">
        <v>15</v>
      </c>
      <c r="F329">
        <v>760</v>
      </c>
      <c r="G329">
        <v>664</v>
      </c>
      <c r="H329">
        <v>73657.2</v>
      </c>
      <c r="I329">
        <v>21</v>
      </c>
    </row>
    <row r="330" spans="1:9" x14ac:dyDescent="0.3">
      <c r="A330" s="8">
        <v>43974</v>
      </c>
      <c r="B330" t="s">
        <v>19</v>
      </c>
      <c r="C330">
        <v>14167.5</v>
      </c>
      <c r="D330">
        <v>1315075.5</v>
      </c>
      <c r="E330">
        <v>15</v>
      </c>
      <c r="F330">
        <v>840</v>
      </c>
      <c r="G330">
        <v>725</v>
      </c>
      <c r="H330">
        <v>87671.7</v>
      </c>
      <c r="I330">
        <v>21</v>
      </c>
    </row>
    <row r="331" spans="1:9" x14ac:dyDescent="0.3">
      <c r="A331" s="8">
        <v>43975</v>
      </c>
      <c r="B331" t="s">
        <v>19</v>
      </c>
      <c r="C331">
        <v>12666</v>
      </c>
      <c r="D331">
        <v>1184865</v>
      </c>
      <c r="E331">
        <v>15</v>
      </c>
      <c r="F331">
        <v>779</v>
      </c>
      <c r="G331">
        <v>673</v>
      </c>
      <c r="H331">
        <v>78991</v>
      </c>
      <c r="I331">
        <v>21</v>
      </c>
    </row>
    <row r="332" spans="1:9" x14ac:dyDescent="0.3">
      <c r="A332" s="8">
        <v>43970</v>
      </c>
      <c r="B332" t="s">
        <v>20</v>
      </c>
      <c r="C332">
        <v>28882.5</v>
      </c>
      <c r="D332">
        <v>2446530</v>
      </c>
      <c r="E332">
        <v>19</v>
      </c>
      <c r="F332">
        <v>1831</v>
      </c>
      <c r="G332">
        <v>1667</v>
      </c>
      <c r="H332">
        <v>128764.73684210527</v>
      </c>
      <c r="I332">
        <v>21</v>
      </c>
    </row>
    <row r="333" spans="1:9" x14ac:dyDescent="0.3">
      <c r="A333" s="8">
        <v>43972</v>
      </c>
      <c r="B333" t="s">
        <v>20</v>
      </c>
      <c r="C333">
        <v>25362</v>
      </c>
      <c r="D333">
        <v>2198935.5</v>
      </c>
      <c r="E333">
        <v>19</v>
      </c>
      <c r="F333">
        <v>1650</v>
      </c>
      <c r="G333">
        <v>1505</v>
      </c>
      <c r="H333">
        <v>115733.44736842105</v>
      </c>
      <c r="I333">
        <v>21</v>
      </c>
    </row>
    <row r="334" spans="1:9" x14ac:dyDescent="0.3">
      <c r="A334" s="8">
        <v>43971</v>
      </c>
      <c r="B334" t="s">
        <v>20</v>
      </c>
      <c r="C334">
        <v>28849.5</v>
      </c>
      <c r="D334">
        <v>2520759</v>
      </c>
      <c r="E334">
        <v>19</v>
      </c>
      <c r="F334">
        <v>1823</v>
      </c>
      <c r="G334">
        <v>1678</v>
      </c>
      <c r="H334">
        <v>132671.52631578947</v>
      </c>
      <c r="I334">
        <v>21</v>
      </c>
    </row>
    <row r="335" spans="1:9" x14ac:dyDescent="0.3">
      <c r="A335" s="8">
        <v>43974</v>
      </c>
      <c r="B335" t="s">
        <v>20</v>
      </c>
      <c r="C335">
        <v>36997.5</v>
      </c>
      <c r="D335">
        <v>3089140.5</v>
      </c>
      <c r="E335">
        <v>19</v>
      </c>
      <c r="F335">
        <v>2195</v>
      </c>
      <c r="G335">
        <v>1999</v>
      </c>
      <c r="H335">
        <v>162586.34210526315</v>
      </c>
      <c r="I335">
        <v>21</v>
      </c>
    </row>
    <row r="336" spans="1:9" x14ac:dyDescent="0.3">
      <c r="A336" s="8">
        <v>43975</v>
      </c>
      <c r="B336" t="s">
        <v>20</v>
      </c>
      <c r="C336">
        <v>29824.5</v>
      </c>
      <c r="D336">
        <v>2526909</v>
      </c>
      <c r="E336">
        <v>19</v>
      </c>
      <c r="F336">
        <v>1868</v>
      </c>
      <c r="G336">
        <v>1706</v>
      </c>
      <c r="H336">
        <v>132995.21052631579</v>
      </c>
      <c r="I336">
        <v>21</v>
      </c>
    </row>
    <row r="337" spans="1:9" x14ac:dyDescent="0.3">
      <c r="A337" s="8">
        <v>43970</v>
      </c>
      <c r="B337" t="s">
        <v>21</v>
      </c>
      <c r="C337">
        <v>223597.5</v>
      </c>
      <c r="D337">
        <v>21945858</v>
      </c>
      <c r="E337" t="e">
        <v>#N/A</v>
      </c>
      <c r="F337" t="e">
        <v>#N/A</v>
      </c>
      <c r="G337" t="e">
        <v>#N/A</v>
      </c>
      <c r="H337">
        <v>0</v>
      </c>
      <c r="I337">
        <v>21</v>
      </c>
    </row>
    <row r="338" spans="1:9" x14ac:dyDescent="0.3">
      <c r="A338" s="8">
        <v>43972</v>
      </c>
      <c r="B338" t="s">
        <v>21</v>
      </c>
      <c r="C338">
        <v>224233.5</v>
      </c>
      <c r="D338">
        <v>22253295</v>
      </c>
      <c r="E338">
        <v>60</v>
      </c>
      <c r="F338">
        <v>14005</v>
      </c>
      <c r="G338">
        <v>13002</v>
      </c>
      <c r="H338">
        <v>370888.25</v>
      </c>
      <c r="I338">
        <v>21</v>
      </c>
    </row>
    <row r="339" spans="1:9" x14ac:dyDescent="0.3">
      <c r="A339" s="8">
        <v>43971</v>
      </c>
      <c r="B339" t="s">
        <v>21</v>
      </c>
      <c r="C339">
        <v>219622.5</v>
      </c>
      <c r="D339">
        <v>21959286</v>
      </c>
      <c r="E339">
        <v>60</v>
      </c>
      <c r="F339">
        <v>13792</v>
      </c>
      <c r="G339">
        <v>12834</v>
      </c>
      <c r="H339">
        <v>365988.1</v>
      </c>
      <c r="I339">
        <v>21</v>
      </c>
    </row>
    <row r="340" spans="1:9" x14ac:dyDescent="0.3">
      <c r="A340" s="8">
        <v>43974</v>
      </c>
      <c r="B340" t="s">
        <v>21</v>
      </c>
      <c r="C340">
        <v>292018.5</v>
      </c>
      <c r="D340">
        <v>28590910.5</v>
      </c>
      <c r="E340">
        <v>60</v>
      </c>
      <c r="F340">
        <v>17295</v>
      </c>
      <c r="G340">
        <v>16010</v>
      </c>
      <c r="H340">
        <v>476515.17499999999</v>
      </c>
      <c r="I340">
        <v>21</v>
      </c>
    </row>
    <row r="341" spans="1:9" x14ac:dyDescent="0.3">
      <c r="A341" s="8">
        <v>43975</v>
      </c>
      <c r="B341" t="s">
        <v>21</v>
      </c>
      <c r="C341">
        <v>200029.5</v>
      </c>
      <c r="D341">
        <v>19959801</v>
      </c>
      <c r="E341">
        <v>60</v>
      </c>
      <c r="F341">
        <v>12822</v>
      </c>
      <c r="G341">
        <v>11916</v>
      </c>
      <c r="H341">
        <v>332663.34999999998</v>
      </c>
      <c r="I341">
        <v>21</v>
      </c>
    </row>
    <row r="342" spans="1:9" x14ac:dyDescent="0.3">
      <c r="A342" s="8">
        <v>43970</v>
      </c>
      <c r="B342" t="s">
        <v>22</v>
      </c>
      <c r="C342">
        <v>211453.5</v>
      </c>
      <c r="D342">
        <v>20590072.5</v>
      </c>
      <c r="E342" t="e">
        <v>#N/A</v>
      </c>
      <c r="F342" t="e">
        <v>#N/A</v>
      </c>
      <c r="G342" t="e">
        <v>#N/A</v>
      </c>
      <c r="H342">
        <v>0</v>
      </c>
      <c r="I342">
        <v>21</v>
      </c>
    </row>
    <row r="343" spans="1:9" x14ac:dyDescent="0.3">
      <c r="A343" s="8">
        <v>43972</v>
      </c>
      <c r="B343" t="s">
        <v>22</v>
      </c>
      <c r="C343">
        <v>213640.5</v>
      </c>
      <c r="D343">
        <v>21042673.5</v>
      </c>
      <c r="E343" t="e">
        <v>#N/A</v>
      </c>
      <c r="F343" t="e">
        <v>#N/A</v>
      </c>
      <c r="G343" t="e">
        <v>#N/A</v>
      </c>
      <c r="H343">
        <v>0</v>
      </c>
      <c r="I343">
        <v>21</v>
      </c>
    </row>
    <row r="344" spans="1:9" x14ac:dyDescent="0.3">
      <c r="A344" s="8">
        <v>43971</v>
      </c>
      <c r="B344" t="s">
        <v>22</v>
      </c>
      <c r="C344">
        <v>214885.5</v>
      </c>
      <c r="D344">
        <v>21411349.5</v>
      </c>
      <c r="E344" t="e">
        <v>#N/A</v>
      </c>
      <c r="F344" t="e">
        <v>#N/A</v>
      </c>
      <c r="G344" t="e">
        <v>#N/A</v>
      </c>
      <c r="H344">
        <v>0</v>
      </c>
      <c r="I344">
        <v>21</v>
      </c>
    </row>
    <row r="345" spans="1:9" x14ac:dyDescent="0.3">
      <c r="A345" s="8">
        <v>43974</v>
      </c>
      <c r="B345" t="s">
        <v>22</v>
      </c>
      <c r="C345">
        <v>275793</v>
      </c>
      <c r="D345">
        <v>26806626</v>
      </c>
      <c r="E345">
        <v>54</v>
      </c>
      <c r="F345">
        <v>16221</v>
      </c>
      <c r="G345">
        <v>15065</v>
      </c>
      <c r="H345">
        <v>496419</v>
      </c>
      <c r="I345">
        <v>21</v>
      </c>
    </row>
    <row r="346" spans="1:9" x14ac:dyDescent="0.3">
      <c r="A346" s="8">
        <v>43975</v>
      </c>
      <c r="B346" t="s">
        <v>22</v>
      </c>
      <c r="C346">
        <v>193719</v>
      </c>
      <c r="D346">
        <v>19071117</v>
      </c>
      <c r="E346">
        <v>54</v>
      </c>
      <c r="F346">
        <v>12211</v>
      </c>
      <c r="G346">
        <v>11427</v>
      </c>
      <c r="H346">
        <v>353168.83333333331</v>
      </c>
      <c r="I346">
        <v>21</v>
      </c>
    </row>
    <row r="347" spans="1:9" x14ac:dyDescent="0.3">
      <c r="A347" s="8">
        <v>43970</v>
      </c>
      <c r="B347" t="s">
        <v>23</v>
      </c>
      <c r="C347">
        <v>14427</v>
      </c>
      <c r="D347">
        <v>1126810.5</v>
      </c>
      <c r="E347" t="e">
        <v>#N/A</v>
      </c>
      <c r="F347" t="e">
        <v>#N/A</v>
      </c>
      <c r="G347" t="e">
        <v>#N/A</v>
      </c>
      <c r="H347">
        <v>0</v>
      </c>
      <c r="I347">
        <v>21</v>
      </c>
    </row>
    <row r="348" spans="1:9" x14ac:dyDescent="0.3">
      <c r="A348" s="8">
        <v>43972</v>
      </c>
      <c r="B348" t="s">
        <v>23</v>
      </c>
      <c r="C348">
        <v>14182.5</v>
      </c>
      <c r="D348">
        <v>1172574</v>
      </c>
      <c r="E348" t="e">
        <v>#N/A</v>
      </c>
      <c r="F348" t="e">
        <v>#N/A</v>
      </c>
      <c r="G348" t="e">
        <v>#N/A</v>
      </c>
      <c r="H348">
        <v>0</v>
      </c>
      <c r="I348">
        <v>21</v>
      </c>
    </row>
    <row r="349" spans="1:9" x14ac:dyDescent="0.3">
      <c r="A349" s="8">
        <v>43971</v>
      </c>
      <c r="B349" t="s">
        <v>23</v>
      </c>
      <c r="C349">
        <v>14928</v>
      </c>
      <c r="D349">
        <v>1217749.5</v>
      </c>
      <c r="E349" t="e">
        <v>#N/A</v>
      </c>
      <c r="F349" t="e">
        <v>#N/A</v>
      </c>
      <c r="G349" t="e">
        <v>#N/A</v>
      </c>
      <c r="H349">
        <v>0</v>
      </c>
      <c r="I349">
        <v>21</v>
      </c>
    </row>
    <row r="350" spans="1:9" x14ac:dyDescent="0.3">
      <c r="A350" s="8">
        <v>43974</v>
      </c>
      <c r="B350" t="s">
        <v>23</v>
      </c>
      <c r="C350">
        <v>17943</v>
      </c>
      <c r="D350">
        <v>1457391</v>
      </c>
      <c r="E350" t="e">
        <v>#N/A</v>
      </c>
      <c r="F350" t="e">
        <v>#N/A</v>
      </c>
      <c r="G350" t="e">
        <v>#N/A</v>
      </c>
      <c r="H350">
        <v>0</v>
      </c>
      <c r="I350">
        <v>21</v>
      </c>
    </row>
    <row r="351" spans="1:9" x14ac:dyDescent="0.3">
      <c r="A351" s="8">
        <v>43975</v>
      </c>
      <c r="B351" t="s">
        <v>23</v>
      </c>
      <c r="C351">
        <v>17197.5</v>
      </c>
      <c r="D351">
        <v>1386262.5</v>
      </c>
      <c r="E351" t="e">
        <v>#N/A</v>
      </c>
      <c r="F351" t="e">
        <v>#N/A</v>
      </c>
      <c r="G351" t="e">
        <v>#N/A</v>
      </c>
      <c r="H351">
        <v>0</v>
      </c>
      <c r="I351">
        <v>21</v>
      </c>
    </row>
    <row r="352" spans="1:9" x14ac:dyDescent="0.3">
      <c r="A352" s="8">
        <v>43973</v>
      </c>
      <c r="B352" t="s">
        <v>10</v>
      </c>
      <c r="C352">
        <v>36031.5</v>
      </c>
      <c r="D352">
        <v>3091069.5</v>
      </c>
      <c r="E352" t="e">
        <v>#N/A</v>
      </c>
      <c r="F352" t="e">
        <v>#N/A</v>
      </c>
      <c r="G352" t="e">
        <v>#N/A</v>
      </c>
      <c r="H352">
        <v>0</v>
      </c>
      <c r="I352">
        <v>21</v>
      </c>
    </row>
    <row r="353" spans="1:9" x14ac:dyDescent="0.3">
      <c r="A353" s="8">
        <v>43969</v>
      </c>
      <c r="B353" t="s">
        <v>10</v>
      </c>
      <c r="C353">
        <v>31329</v>
      </c>
      <c r="D353">
        <v>2826379.5</v>
      </c>
      <c r="E353" t="e">
        <v>#N/A</v>
      </c>
      <c r="F353" t="e">
        <v>#N/A</v>
      </c>
      <c r="G353" t="e">
        <v>#N/A</v>
      </c>
      <c r="H353">
        <v>0</v>
      </c>
      <c r="I353">
        <v>21</v>
      </c>
    </row>
    <row r="354" spans="1:9" x14ac:dyDescent="0.3">
      <c r="A354" s="8">
        <v>43973</v>
      </c>
      <c r="B354" t="s">
        <v>11</v>
      </c>
      <c r="C354">
        <v>97963.5</v>
      </c>
      <c r="D354">
        <v>7728465</v>
      </c>
      <c r="E354" t="e">
        <v>#N/A</v>
      </c>
      <c r="F354" t="e">
        <v>#N/A</v>
      </c>
      <c r="G354" t="e">
        <v>#N/A</v>
      </c>
      <c r="H354">
        <v>0</v>
      </c>
      <c r="I354">
        <v>21</v>
      </c>
    </row>
    <row r="355" spans="1:9" x14ac:dyDescent="0.3">
      <c r="A355" s="8">
        <v>43969</v>
      </c>
      <c r="B355" t="s">
        <v>11</v>
      </c>
      <c r="C355">
        <v>78058.5</v>
      </c>
      <c r="D355">
        <v>6609714</v>
      </c>
      <c r="E355" t="e">
        <v>#N/A</v>
      </c>
      <c r="F355" t="e">
        <v>#N/A</v>
      </c>
      <c r="G355" t="e">
        <v>#N/A</v>
      </c>
      <c r="H355">
        <v>0</v>
      </c>
      <c r="I355">
        <v>21</v>
      </c>
    </row>
    <row r="356" spans="1:9" x14ac:dyDescent="0.3">
      <c r="A356" s="8">
        <v>43973</v>
      </c>
      <c r="B356" t="s">
        <v>12</v>
      </c>
      <c r="C356">
        <v>18036</v>
      </c>
      <c r="D356">
        <v>1455049.5</v>
      </c>
      <c r="E356" t="e">
        <v>#N/A</v>
      </c>
      <c r="F356" t="e">
        <v>#N/A</v>
      </c>
      <c r="G356" t="e">
        <v>#N/A</v>
      </c>
      <c r="H356">
        <v>0</v>
      </c>
      <c r="I356">
        <v>21</v>
      </c>
    </row>
    <row r="357" spans="1:9" x14ac:dyDescent="0.3">
      <c r="A357" s="8">
        <v>43969</v>
      </c>
      <c r="B357" t="s">
        <v>12</v>
      </c>
      <c r="C357">
        <v>11680.5</v>
      </c>
      <c r="D357">
        <v>936427.5</v>
      </c>
      <c r="E357" t="e">
        <v>#N/A</v>
      </c>
      <c r="F357" t="e">
        <v>#N/A</v>
      </c>
      <c r="G357" t="e">
        <v>#N/A</v>
      </c>
      <c r="H357">
        <v>0</v>
      </c>
      <c r="I357">
        <v>21</v>
      </c>
    </row>
    <row r="358" spans="1:9" x14ac:dyDescent="0.3">
      <c r="A358" s="8">
        <v>43973</v>
      </c>
      <c r="B358" t="s">
        <v>13</v>
      </c>
      <c r="C358">
        <v>38074.5</v>
      </c>
      <c r="D358">
        <v>3414180</v>
      </c>
      <c r="E358" t="e">
        <v>#N/A</v>
      </c>
      <c r="F358" t="e">
        <v>#N/A</v>
      </c>
      <c r="G358" t="e">
        <v>#N/A</v>
      </c>
      <c r="H358">
        <v>0</v>
      </c>
      <c r="I358">
        <v>21</v>
      </c>
    </row>
    <row r="359" spans="1:9" x14ac:dyDescent="0.3">
      <c r="A359" s="8">
        <v>43969</v>
      </c>
      <c r="B359" t="s">
        <v>13</v>
      </c>
      <c r="C359">
        <v>28668</v>
      </c>
      <c r="D359">
        <v>2588148</v>
      </c>
      <c r="E359" t="e">
        <v>#N/A</v>
      </c>
      <c r="F359" t="e">
        <v>#N/A</v>
      </c>
      <c r="G359" t="e">
        <v>#N/A</v>
      </c>
      <c r="H359">
        <v>0</v>
      </c>
      <c r="I359">
        <v>21</v>
      </c>
    </row>
    <row r="360" spans="1:9" x14ac:dyDescent="0.3">
      <c r="A360" s="8">
        <v>43973</v>
      </c>
      <c r="B360" t="s">
        <v>14</v>
      </c>
      <c r="C360">
        <v>304092</v>
      </c>
      <c r="D360">
        <v>29465769</v>
      </c>
      <c r="E360" t="e">
        <v>#N/A</v>
      </c>
      <c r="F360" t="e">
        <v>#N/A</v>
      </c>
      <c r="G360" t="e">
        <v>#N/A</v>
      </c>
      <c r="H360">
        <v>0</v>
      </c>
      <c r="I360">
        <v>21</v>
      </c>
    </row>
    <row r="361" spans="1:9" x14ac:dyDescent="0.3">
      <c r="A361" s="8">
        <v>43969</v>
      </c>
      <c r="B361" t="s">
        <v>14</v>
      </c>
      <c r="C361">
        <v>273900</v>
      </c>
      <c r="D361">
        <v>27535284.147600003</v>
      </c>
      <c r="E361" t="e">
        <v>#N/A</v>
      </c>
      <c r="F361" t="e">
        <v>#N/A</v>
      </c>
      <c r="G361" t="e">
        <v>#N/A</v>
      </c>
      <c r="H361">
        <v>0</v>
      </c>
      <c r="I361">
        <v>21</v>
      </c>
    </row>
    <row r="362" spans="1:9" x14ac:dyDescent="0.3">
      <c r="A362" s="8">
        <v>43973</v>
      </c>
      <c r="B362" t="s">
        <v>15</v>
      </c>
      <c r="C362">
        <v>393018</v>
      </c>
      <c r="D362">
        <v>39498373.5</v>
      </c>
      <c r="E362" t="e">
        <v>#N/A</v>
      </c>
      <c r="F362" t="e">
        <v>#N/A</v>
      </c>
      <c r="G362" t="e">
        <v>#N/A</v>
      </c>
      <c r="H362">
        <v>0</v>
      </c>
      <c r="I362">
        <v>21</v>
      </c>
    </row>
    <row r="363" spans="1:9" x14ac:dyDescent="0.3">
      <c r="A363" s="8">
        <v>43969</v>
      </c>
      <c r="B363" t="s">
        <v>15</v>
      </c>
      <c r="C363">
        <v>355081.5</v>
      </c>
      <c r="D363">
        <v>36876888</v>
      </c>
      <c r="E363" t="e">
        <v>#N/A</v>
      </c>
      <c r="F363" t="e">
        <v>#N/A</v>
      </c>
      <c r="G363" t="e">
        <v>#N/A</v>
      </c>
      <c r="H363">
        <v>0</v>
      </c>
      <c r="I363">
        <v>21</v>
      </c>
    </row>
    <row r="364" spans="1:9" x14ac:dyDescent="0.3">
      <c r="A364" s="8">
        <v>43973</v>
      </c>
      <c r="B364" t="s">
        <v>16</v>
      </c>
      <c r="C364">
        <v>75820.5</v>
      </c>
      <c r="D364">
        <v>5943489</v>
      </c>
      <c r="E364" t="e">
        <v>#N/A</v>
      </c>
      <c r="F364" t="e">
        <v>#N/A</v>
      </c>
      <c r="G364" t="e">
        <v>#N/A</v>
      </c>
      <c r="H364">
        <v>0</v>
      </c>
      <c r="I364">
        <v>21</v>
      </c>
    </row>
    <row r="365" spans="1:9" x14ac:dyDescent="0.3">
      <c r="A365" s="8">
        <v>43969</v>
      </c>
      <c r="B365" t="s">
        <v>16</v>
      </c>
      <c r="C365">
        <v>70278</v>
      </c>
      <c r="D365">
        <v>5798476.5</v>
      </c>
      <c r="E365" t="e">
        <v>#N/A</v>
      </c>
      <c r="F365" t="e">
        <v>#N/A</v>
      </c>
      <c r="G365" t="e">
        <v>#N/A</v>
      </c>
      <c r="H365">
        <v>0</v>
      </c>
      <c r="I365">
        <v>21</v>
      </c>
    </row>
    <row r="366" spans="1:9" x14ac:dyDescent="0.3">
      <c r="A366" s="8">
        <v>43973</v>
      </c>
      <c r="B366" t="s">
        <v>17</v>
      </c>
      <c r="C366">
        <v>53838</v>
      </c>
      <c r="D366">
        <v>4840833</v>
      </c>
      <c r="E366" t="e">
        <v>#N/A</v>
      </c>
      <c r="F366" t="e">
        <v>#N/A</v>
      </c>
      <c r="G366" t="e">
        <v>#N/A</v>
      </c>
      <c r="H366">
        <v>0</v>
      </c>
      <c r="I366">
        <v>21</v>
      </c>
    </row>
    <row r="367" spans="1:9" x14ac:dyDescent="0.3">
      <c r="A367" s="8">
        <v>43969</v>
      </c>
      <c r="B367" t="s">
        <v>17</v>
      </c>
      <c r="C367">
        <v>36655.5</v>
      </c>
      <c r="D367">
        <v>3360135</v>
      </c>
      <c r="E367" t="e">
        <v>#N/A</v>
      </c>
      <c r="F367" t="e">
        <v>#N/A</v>
      </c>
      <c r="G367" t="e">
        <v>#N/A</v>
      </c>
      <c r="H367">
        <v>0</v>
      </c>
      <c r="I367">
        <v>21</v>
      </c>
    </row>
    <row r="368" spans="1:9" x14ac:dyDescent="0.3">
      <c r="A368" s="8">
        <v>43973</v>
      </c>
      <c r="B368" t="s">
        <v>18</v>
      </c>
      <c r="C368">
        <v>21483</v>
      </c>
      <c r="D368">
        <v>1774329</v>
      </c>
      <c r="E368" t="e">
        <v>#N/A</v>
      </c>
      <c r="F368" t="e">
        <v>#N/A</v>
      </c>
      <c r="G368" t="e">
        <v>#N/A</v>
      </c>
      <c r="H368">
        <v>0</v>
      </c>
      <c r="I368">
        <v>21</v>
      </c>
    </row>
    <row r="369" spans="1:9" x14ac:dyDescent="0.3">
      <c r="A369" s="8">
        <v>43969</v>
      </c>
      <c r="B369" t="s">
        <v>18</v>
      </c>
      <c r="C369">
        <v>14290.5</v>
      </c>
      <c r="D369">
        <v>1246162.5</v>
      </c>
      <c r="E369" t="e">
        <v>#N/A</v>
      </c>
      <c r="F369" t="e">
        <v>#N/A</v>
      </c>
      <c r="G369" t="e">
        <v>#N/A</v>
      </c>
      <c r="H369">
        <v>0</v>
      </c>
      <c r="I369">
        <v>21</v>
      </c>
    </row>
    <row r="370" spans="1:9" x14ac:dyDescent="0.3">
      <c r="A370" s="8">
        <v>43973</v>
      </c>
      <c r="B370" t="s">
        <v>19</v>
      </c>
      <c r="C370">
        <v>15802.5</v>
      </c>
      <c r="D370">
        <v>1411909.5</v>
      </c>
      <c r="E370" t="e">
        <v>#N/A</v>
      </c>
      <c r="F370" t="e">
        <v>#N/A</v>
      </c>
      <c r="G370" t="e">
        <v>#N/A</v>
      </c>
      <c r="H370">
        <v>0</v>
      </c>
      <c r="I370">
        <v>21</v>
      </c>
    </row>
    <row r="371" spans="1:9" x14ac:dyDescent="0.3">
      <c r="A371" s="8">
        <v>43969</v>
      </c>
      <c r="B371" t="s">
        <v>19</v>
      </c>
      <c r="C371">
        <v>12450</v>
      </c>
      <c r="D371">
        <v>1115146.5</v>
      </c>
      <c r="E371" t="e">
        <v>#N/A</v>
      </c>
      <c r="F371" t="e">
        <v>#N/A</v>
      </c>
      <c r="G371" t="e">
        <v>#N/A</v>
      </c>
      <c r="H371">
        <v>0</v>
      </c>
      <c r="I371">
        <v>21</v>
      </c>
    </row>
    <row r="372" spans="1:9" x14ac:dyDescent="0.3">
      <c r="A372" s="8">
        <v>43973</v>
      </c>
      <c r="B372" t="s">
        <v>20</v>
      </c>
      <c r="C372">
        <v>30781.5</v>
      </c>
      <c r="D372">
        <v>2540715</v>
      </c>
      <c r="E372" t="e">
        <v>#N/A</v>
      </c>
      <c r="F372" t="e">
        <v>#N/A</v>
      </c>
      <c r="G372" t="e">
        <v>#N/A</v>
      </c>
      <c r="H372">
        <v>0</v>
      </c>
      <c r="I372">
        <v>21</v>
      </c>
    </row>
    <row r="373" spans="1:9" x14ac:dyDescent="0.3">
      <c r="A373" s="8">
        <v>43969</v>
      </c>
      <c r="B373" t="s">
        <v>20</v>
      </c>
      <c r="C373">
        <v>27181.5</v>
      </c>
      <c r="D373">
        <v>2324490</v>
      </c>
      <c r="E373" t="e">
        <v>#N/A</v>
      </c>
      <c r="F373" t="e">
        <v>#N/A</v>
      </c>
      <c r="G373" t="e">
        <v>#N/A</v>
      </c>
      <c r="H373">
        <v>0</v>
      </c>
      <c r="I373">
        <v>21</v>
      </c>
    </row>
    <row r="374" spans="1:9" x14ac:dyDescent="0.3">
      <c r="A374" s="8">
        <v>43973</v>
      </c>
      <c r="B374" t="s">
        <v>21</v>
      </c>
      <c r="C374">
        <v>228334.5</v>
      </c>
      <c r="D374">
        <v>22380772.5</v>
      </c>
      <c r="E374" t="e">
        <v>#N/A</v>
      </c>
      <c r="F374" t="e">
        <v>#N/A</v>
      </c>
      <c r="G374" t="e">
        <v>#N/A</v>
      </c>
      <c r="H374">
        <v>0</v>
      </c>
      <c r="I374">
        <v>21</v>
      </c>
    </row>
    <row r="375" spans="1:9" x14ac:dyDescent="0.3">
      <c r="A375" s="8">
        <v>43969</v>
      </c>
      <c r="B375" t="s">
        <v>21</v>
      </c>
      <c r="C375">
        <v>201999</v>
      </c>
      <c r="D375">
        <v>20422435.5</v>
      </c>
      <c r="E375" t="e">
        <v>#N/A</v>
      </c>
      <c r="F375" t="e">
        <v>#N/A</v>
      </c>
      <c r="G375" t="e">
        <v>#N/A</v>
      </c>
      <c r="H375">
        <v>0</v>
      </c>
      <c r="I375">
        <v>21</v>
      </c>
    </row>
    <row r="376" spans="1:9" x14ac:dyDescent="0.3">
      <c r="A376" s="8">
        <v>43973</v>
      </c>
      <c r="B376" t="s">
        <v>22</v>
      </c>
      <c r="C376">
        <v>214428</v>
      </c>
      <c r="D376">
        <v>20812585.5</v>
      </c>
      <c r="E376" t="e">
        <v>#N/A</v>
      </c>
      <c r="F376" t="e">
        <v>#N/A</v>
      </c>
      <c r="G376" t="e">
        <v>#N/A</v>
      </c>
      <c r="H376">
        <v>0</v>
      </c>
      <c r="I376">
        <v>21</v>
      </c>
    </row>
    <row r="377" spans="1:9" x14ac:dyDescent="0.3">
      <c r="A377" s="8">
        <v>43969</v>
      </c>
      <c r="B377" t="s">
        <v>22</v>
      </c>
      <c r="C377">
        <v>196560</v>
      </c>
      <c r="D377">
        <v>19855122</v>
      </c>
      <c r="E377" t="e">
        <v>#N/A</v>
      </c>
      <c r="F377" t="e">
        <v>#N/A</v>
      </c>
      <c r="G377" t="e">
        <v>#N/A</v>
      </c>
      <c r="H377">
        <v>0</v>
      </c>
      <c r="I377">
        <v>21</v>
      </c>
    </row>
    <row r="378" spans="1:9" x14ac:dyDescent="0.3">
      <c r="A378" s="8">
        <v>43973</v>
      </c>
      <c r="B378" t="s">
        <v>23</v>
      </c>
      <c r="C378">
        <v>17008.5</v>
      </c>
      <c r="D378">
        <v>1398771</v>
      </c>
      <c r="E378" t="e">
        <v>#N/A</v>
      </c>
      <c r="F378" t="e">
        <v>#N/A</v>
      </c>
      <c r="G378" t="e">
        <v>#N/A</v>
      </c>
      <c r="H378">
        <v>0</v>
      </c>
      <c r="I378">
        <v>21</v>
      </c>
    </row>
    <row r="379" spans="1:9" x14ac:dyDescent="0.3">
      <c r="A379" s="8">
        <v>43969</v>
      </c>
      <c r="B379" t="s">
        <v>23</v>
      </c>
      <c r="C379">
        <v>14497.5</v>
      </c>
      <c r="D379">
        <v>1230711</v>
      </c>
      <c r="E379" t="e">
        <v>#N/A</v>
      </c>
      <c r="F379" t="e">
        <v>#N/A</v>
      </c>
      <c r="G379" t="e">
        <v>#N/A</v>
      </c>
      <c r="H379">
        <v>0</v>
      </c>
      <c r="I379">
        <v>21</v>
      </c>
    </row>
    <row r="380" spans="1:9" x14ac:dyDescent="0.3">
      <c r="A380" s="8">
        <v>43982</v>
      </c>
      <c r="B380" t="s">
        <v>9</v>
      </c>
      <c r="C380">
        <v>7944</v>
      </c>
      <c r="D380">
        <v>623971.5</v>
      </c>
      <c r="E380">
        <v>15</v>
      </c>
      <c r="F380">
        <v>441</v>
      </c>
      <c r="G380">
        <v>368</v>
      </c>
      <c r="H380">
        <v>41598.1</v>
      </c>
      <c r="I380">
        <v>22</v>
      </c>
    </row>
    <row r="381" spans="1:9" x14ac:dyDescent="0.3">
      <c r="A381" s="8">
        <v>43981</v>
      </c>
      <c r="B381" t="s">
        <v>9</v>
      </c>
      <c r="C381">
        <v>10029</v>
      </c>
      <c r="D381">
        <v>787101</v>
      </c>
      <c r="E381">
        <v>15</v>
      </c>
      <c r="F381">
        <v>490</v>
      </c>
      <c r="G381">
        <v>409</v>
      </c>
      <c r="H381">
        <v>52473.4</v>
      </c>
      <c r="I381">
        <v>22</v>
      </c>
    </row>
    <row r="382" spans="1:9" x14ac:dyDescent="0.3">
      <c r="A382" s="8">
        <v>43979</v>
      </c>
      <c r="B382" t="s">
        <v>9</v>
      </c>
      <c r="C382">
        <v>8536.5</v>
      </c>
      <c r="D382">
        <v>643944</v>
      </c>
      <c r="E382">
        <v>15</v>
      </c>
      <c r="F382">
        <v>464</v>
      </c>
      <c r="G382">
        <v>390</v>
      </c>
      <c r="H382">
        <v>42929.599999999999</v>
      </c>
      <c r="I382">
        <v>22</v>
      </c>
    </row>
    <row r="383" spans="1:9" x14ac:dyDescent="0.3">
      <c r="A383" s="8">
        <v>43977</v>
      </c>
      <c r="B383" t="s">
        <v>10</v>
      </c>
      <c r="C383">
        <v>33423</v>
      </c>
      <c r="D383">
        <v>2970330</v>
      </c>
      <c r="E383">
        <v>20</v>
      </c>
      <c r="F383">
        <v>2044</v>
      </c>
      <c r="G383">
        <v>1863</v>
      </c>
      <c r="H383">
        <v>148516.5</v>
      </c>
      <c r="I383">
        <v>22</v>
      </c>
    </row>
    <row r="384" spans="1:9" x14ac:dyDescent="0.3">
      <c r="A384" s="8">
        <v>43976</v>
      </c>
      <c r="B384" t="s">
        <v>10</v>
      </c>
      <c r="C384">
        <v>35592</v>
      </c>
      <c r="D384">
        <v>3176580</v>
      </c>
      <c r="E384">
        <v>20</v>
      </c>
      <c r="F384">
        <v>2087</v>
      </c>
      <c r="G384">
        <v>1914</v>
      </c>
      <c r="H384">
        <v>158829</v>
      </c>
      <c r="I384">
        <v>22</v>
      </c>
    </row>
    <row r="385" spans="1:9" x14ac:dyDescent="0.3">
      <c r="A385" s="8">
        <v>43982</v>
      </c>
      <c r="B385" t="s">
        <v>10</v>
      </c>
      <c r="C385">
        <v>36999</v>
      </c>
      <c r="D385">
        <v>3473895</v>
      </c>
      <c r="E385">
        <v>21</v>
      </c>
      <c r="F385">
        <v>2271</v>
      </c>
      <c r="G385">
        <v>2085</v>
      </c>
      <c r="H385">
        <v>165423.57142857142</v>
      </c>
      <c r="I385">
        <v>22</v>
      </c>
    </row>
    <row r="386" spans="1:9" x14ac:dyDescent="0.3">
      <c r="A386" s="8">
        <v>43981</v>
      </c>
      <c r="B386" t="s">
        <v>10</v>
      </c>
      <c r="C386">
        <v>44001</v>
      </c>
      <c r="D386">
        <v>3921784.5</v>
      </c>
      <c r="E386">
        <v>20</v>
      </c>
      <c r="F386">
        <v>2597</v>
      </c>
      <c r="G386">
        <v>2376</v>
      </c>
      <c r="H386">
        <v>196089.22500000001</v>
      </c>
      <c r="I386">
        <v>22</v>
      </c>
    </row>
    <row r="387" spans="1:9" x14ac:dyDescent="0.3">
      <c r="A387" s="8">
        <v>43979</v>
      </c>
      <c r="B387" t="s">
        <v>10</v>
      </c>
      <c r="C387">
        <v>30982.5</v>
      </c>
      <c r="D387">
        <v>2827773</v>
      </c>
      <c r="E387">
        <v>20</v>
      </c>
      <c r="F387">
        <v>1886</v>
      </c>
      <c r="G387">
        <v>1736</v>
      </c>
      <c r="H387">
        <v>141388.65</v>
      </c>
      <c r="I387">
        <v>22</v>
      </c>
    </row>
    <row r="388" spans="1:9" x14ac:dyDescent="0.3">
      <c r="A388" s="8">
        <v>43977</v>
      </c>
      <c r="B388" t="s">
        <v>11</v>
      </c>
      <c r="C388">
        <v>79975.5</v>
      </c>
      <c r="D388">
        <v>6676459.5</v>
      </c>
      <c r="E388">
        <v>31</v>
      </c>
      <c r="F388">
        <v>5493</v>
      </c>
      <c r="G388">
        <v>5119</v>
      </c>
      <c r="H388">
        <v>215369.66129032258</v>
      </c>
      <c r="I388">
        <v>22</v>
      </c>
    </row>
    <row r="389" spans="1:9" x14ac:dyDescent="0.3">
      <c r="A389" s="8">
        <v>43976</v>
      </c>
      <c r="B389" t="s">
        <v>11</v>
      </c>
      <c r="C389">
        <v>76999.5</v>
      </c>
      <c r="D389">
        <v>6645603</v>
      </c>
      <c r="E389">
        <v>31</v>
      </c>
      <c r="F389">
        <v>5210</v>
      </c>
      <c r="G389">
        <v>4841</v>
      </c>
      <c r="H389">
        <v>214374.29032258064</v>
      </c>
      <c r="I389">
        <v>22</v>
      </c>
    </row>
    <row r="390" spans="1:9" x14ac:dyDescent="0.3">
      <c r="A390" s="8">
        <v>43977</v>
      </c>
      <c r="B390" t="s">
        <v>12</v>
      </c>
      <c r="C390">
        <v>11835</v>
      </c>
      <c r="D390">
        <v>983109</v>
      </c>
      <c r="E390">
        <v>10</v>
      </c>
      <c r="F390">
        <v>692</v>
      </c>
      <c r="G390">
        <v>601</v>
      </c>
      <c r="H390">
        <v>98310.9</v>
      </c>
      <c r="I390">
        <v>22</v>
      </c>
    </row>
    <row r="391" spans="1:9" x14ac:dyDescent="0.3">
      <c r="A391" s="8">
        <v>43982</v>
      </c>
      <c r="B391" t="s">
        <v>11</v>
      </c>
      <c r="C391">
        <v>89149.5</v>
      </c>
      <c r="D391">
        <v>7512646.5</v>
      </c>
      <c r="E391">
        <v>31</v>
      </c>
      <c r="F391">
        <v>5760</v>
      </c>
      <c r="G391">
        <v>5367</v>
      </c>
      <c r="H391">
        <v>242343.43548387097</v>
      </c>
      <c r="I391">
        <v>22</v>
      </c>
    </row>
    <row r="392" spans="1:9" x14ac:dyDescent="0.3">
      <c r="A392" s="8">
        <v>43981</v>
      </c>
      <c r="B392" t="s">
        <v>11</v>
      </c>
      <c r="C392">
        <v>108123</v>
      </c>
      <c r="D392">
        <v>9164707.5</v>
      </c>
      <c r="E392">
        <v>31</v>
      </c>
      <c r="F392">
        <v>6735</v>
      </c>
      <c r="G392">
        <v>6264</v>
      </c>
      <c r="H392">
        <v>295635.72580645164</v>
      </c>
      <c r="I392">
        <v>22</v>
      </c>
    </row>
    <row r="393" spans="1:9" x14ac:dyDescent="0.3">
      <c r="A393" s="8">
        <v>43979</v>
      </c>
      <c r="B393" t="s">
        <v>11</v>
      </c>
      <c r="C393">
        <v>78141</v>
      </c>
      <c r="D393">
        <v>6641569.5</v>
      </c>
      <c r="E393">
        <v>31</v>
      </c>
      <c r="F393">
        <v>5355</v>
      </c>
      <c r="G393">
        <v>4969</v>
      </c>
      <c r="H393">
        <v>214244.17741935485</v>
      </c>
      <c r="I393">
        <v>22</v>
      </c>
    </row>
    <row r="394" spans="1:9" x14ac:dyDescent="0.3">
      <c r="A394" s="8">
        <v>43976</v>
      </c>
      <c r="B394" t="s">
        <v>12</v>
      </c>
      <c r="C394">
        <v>12280.5</v>
      </c>
      <c r="D394">
        <v>1030440</v>
      </c>
      <c r="E394">
        <v>10</v>
      </c>
      <c r="F394">
        <v>739</v>
      </c>
      <c r="G394">
        <v>642</v>
      </c>
      <c r="H394">
        <v>103044</v>
      </c>
      <c r="I394">
        <v>22</v>
      </c>
    </row>
    <row r="395" spans="1:9" x14ac:dyDescent="0.3">
      <c r="A395" s="8">
        <v>43982</v>
      </c>
      <c r="B395" t="s">
        <v>12</v>
      </c>
      <c r="C395">
        <v>12724.5</v>
      </c>
      <c r="D395">
        <v>1045515</v>
      </c>
      <c r="E395">
        <v>10</v>
      </c>
      <c r="F395">
        <v>749</v>
      </c>
      <c r="G395">
        <v>655</v>
      </c>
      <c r="H395">
        <v>104551.5</v>
      </c>
      <c r="I395">
        <v>22</v>
      </c>
    </row>
    <row r="396" spans="1:9" x14ac:dyDescent="0.3">
      <c r="A396" s="8">
        <v>43981</v>
      </c>
      <c r="B396" t="s">
        <v>12</v>
      </c>
      <c r="C396">
        <v>14728.5</v>
      </c>
      <c r="D396">
        <v>1260483</v>
      </c>
      <c r="E396">
        <v>10</v>
      </c>
      <c r="F396">
        <v>865</v>
      </c>
      <c r="G396">
        <v>763</v>
      </c>
      <c r="H396">
        <v>126048.3</v>
      </c>
      <c r="I396">
        <v>22</v>
      </c>
    </row>
    <row r="397" spans="1:9" x14ac:dyDescent="0.3">
      <c r="A397" s="8">
        <v>43979</v>
      </c>
      <c r="B397" t="s">
        <v>12</v>
      </c>
      <c r="C397">
        <v>13038</v>
      </c>
      <c r="D397">
        <v>1114552.5</v>
      </c>
      <c r="E397">
        <v>10</v>
      </c>
      <c r="F397">
        <v>791</v>
      </c>
      <c r="G397">
        <v>697</v>
      </c>
      <c r="H397">
        <v>111455.25</v>
      </c>
      <c r="I397">
        <v>22</v>
      </c>
    </row>
    <row r="398" spans="1:9" x14ac:dyDescent="0.3">
      <c r="A398" s="8">
        <v>43977</v>
      </c>
      <c r="B398" t="s">
        <v>13</v>
      </c>
      <c r="C398">
        <v>31407</v>
      </c>
      <c r="D398">
        <v>2907411</v>
      </c>
      <c r="E398">
        <v>20</v>
      </c>
      <c r="F398">
        <v>2036</v>
      </c>
      <c r="G398">
        <v>1790</v>
      </c>
      <c r="H398">
        <v>145370.54999999999</v>
      </c>
      <c r="I398">
        <v>22</v>
      </c>
    </row>
    <row r="399" spans="1:9" x14ac:dyDescent="0.3">
      <c r="A399" s="8">
        <v>43976</v>
      </c>
      <c r="B399" t="s">
        <v>13</v>
      </c>
      <c r="C399">
        <v>30603</v>
      </c>
      <c r="D399">
        <v>2865727.5</v>
      </c>
      <c r="E399">
        <v>20</v>
      </c>
      <c r="F399">
        <v>2011</v>
      </c>
      <c r="G399">
        <v>1791</v>
      </c>
      <c r="H399">
        <v>143286.375</v>
      </c>
      <c r="I399">
        <v>22</v>
      </c>
    </row>
    <row r="400" spans="1:9" x14ac:dyDescent="0.3">
      <c r="A400" s="8">
        <v>43982</v>
      </c>
      <c r="B400" t="s">
        <v>13</v>
      </c>
      <c r="C400">
        <v>32359.5</v>
      </c>
      <c r="D400">
        <v>2991999</v>
      </c>
      <c r="E400">
        <v>20</v>
      </c>
      <c r="F400">
        <v>2060</v>
      </c>
      <c r="G400">
        <v>1826</v>
      </c>
      <c r="H400">
        <v>149599.95000000001</v>
      </c>
      <c r="I400">
        <v>22</v>
      </c>
    </row>
    <row r="401" spans="1:9" x14ac:dyDescent="0.3">
      <c r="A401" s="8">
        <v>43981</v>
      </c>
      <c r="B401" t="s">
        <v>13</v>
      </c>
      <c r="C401">
        <v>39867</v>
      </c>
      <c r="D401">
        <v>3654166.5</v>
      </c>
      <c r="E401">
        <v>20</v>
      </c>
      <c r="F401">
        <v>2451</v>
      </c>
      <c r="G401">
        <v>2178</v>
      </c>
      <c r="H401">
        <v>182708.32500000001</v>
      </c>
      <c r="I401">
        <v>22</v>
      </c>
    </row>
    <row r="402" spans="1:9" x14ac:dyDescent="0.3">
      <c r="A402" s="8">
        <v>43979</v>
      </c>
      <c r="B402" t="s">
        <v>13</v>
      </c>
      <c r="C402">
        <v>31974</v>
      </c>
      <c r="D402">
        <v>3004213.5</v>
      </c>
      <c r="E402">
        <v>20</v>
      </c>
      <c r="F402">
        <v>2088</v>
      </c>
      <c r="G402">
        <v>1848</v>
      </c>
      <c r="H402">
        <v>150210.67499999999</v>
      </c>
      <c r="I402">
        <v>22</v>
      </c>
    </row>
    <row r="403" spans="1:9" x14ac:dyDescent="0.3">
      <c r="A403" s="8">
        <v>43977</v>
      </c>
      <c r="B403" t="s">
        <v>14</v>
      </c>
      <c r="C403">
        <v>276966</v>
      </c>
      <c r="D403">
        <v>27872617.898850001</v>
      </c>
      <c r="E403">
        <v>129</v>
      </c>
      <c r="F403">
        <v>16459</v>
      </c>
      <c r="G403">
        <v>15355</v>
      </c>
      <c r="H403">
        <v>216066.80541744188</v>
      </c>
      <c r="I403">
        <v>22</v>
      </c>
    </row>
    <row r="404" spans="1:9" x14ac:dyDescent="0.3">
      <c r="A404" s="8">
        <v>43976</v>
      </c>
      <c r="B404" t="s">
        <v>14</v>
      </c>
      <c r="C404">
        <v>266983.5</v>
      </c>
      <c r="D404">
        <v>27165913.5</v>
      </c>
      <c r="E404">
        <v>129</v>
      </c>
      <c r="F404">
        <v>15822</v>
      </c>
      <c r="G404">
        <v>14753</v>
      </c>
      <c r="H404">
        <v>210588.47674418605</v>
      </c>
      <c r="I404">
        <v>22</v>
      </c>
    </row>
    <row r="405" spans="1:9" x14ac:dyDescent="0.3">
      <c r="A405" s="8">
        <v>43977</v>
      </c>
      <c r="B405" t="s">
        <v>15</v>
      </c>
      <c r="C405">
        <v>369861</v>
      </c>
      <c r="D405">
        <v>38365960.5</v>
      </c>
      <c r="E405">
        <v>124</v>
      </c>
      <c r="F405">
        <v>21153</v>
      </c>
      <c r="G405">
        <v>19673</v>
      </c>
      <c r="H405">
        <v>309402.90725806454</v>
      </c>
      <c r="I405">
        <v>22</v>
      </c>
    </row>
    <row r="406" spans="1:9" x14ac:dyDescent="0.3">
      <c r="A406" s="8">
        <v>43982</v>
      </c>
      <c r="B406" t="s">
        <v>14</v>
      </c>
      <c r="C406">
        <v>294337.5</v>
      </c>
      <c r="D406">
        <v>29327766</v>
      </c>
      <c r="E406">
        <v>129</v>
      </c>
      <c r="F406">
        <v>17235</v>
      </c>
      <c r="G406">
        <v>16052</v>
      </c>
      <c r="H406">
        <v>227347.02325581395</v>
      </c>
      <c r="I406">
        <v>22</v>
      </c>
    </row>
    <row r="407" spans="1:9" x14ac:dyDescent="0.3">
      <c r="A407" s="8">
        <v>43981</v>
      </c>
      <c r="B407" t="s">
        <v>14</v>
      </c>
      <c r="C407">
        <v>364882.5</v>
      </c>
      <c r="D407">
        <v>35724493.5</v>
      </c>
      <c r="E407">
        <v>129</v>
      </c>
      <c r="F407">
        <v>20243</v>
      </c>
      <c r="G407">
        <v>18711</v>
      </c>
      <c r="H407">
        <v>276934.0581395349</v>
      </c>
      <c r="I407">
        <v>22</v>
      </c>
    </row>
    <row r="408" spans="1:9" x14ac:dyDescent="0.3">
      <c r="A408" s="8">
        <v>43979</v>
      </c>
      <c r="B408" t="s">
        <v>14</v>
      </c>
      <c r="C408">
        <v>278491.5</v>
      </c>
      <c r="D408">
        <v>28151004.75</v>
      </c>
      <c r="E408">
        <v>129</v>
      </c>
      <c r="F408">
        <v>16453</v>
      </c>
      <c r="G408">
        <v>15289</v>
      </c>
      <c r="H408">
        <v>218224.84302325582</v>
      </c>
      <c r="I408">
        <v>22</v>
      </c>
    </row>
    <row r="409" spans="1:9" x14ac:dyDescent="0.3">
      <c r="A409" s="8">
        <v>43976</v>
      </c>
      <c r="B409" t="s">
        <v>15</v>
      </c>
      <c r="C409">
        <v>349734</v>
      </c>
      <c r="D409">
        <v>36883428</v>
      </c>
      <c r="E409">
        <v>124</v>
      </c>
      <c r="F409">
        <v>20358</v>
      </c>
      <c r="G409">
        <v>18890</v>
      </c>
      <c r="H409">
        <v>297447</v>
      </c>
      <c r="I409">
        <v>22</v>
      </c>
    </row>
    <row r="410" spans="1:9" x14ac:dyDescent="0.3">
      <c r="A410" s="8">
        <v>43977</v>
      </c>
      <c r="B410" t="s">
        <v>16</v>
      </c>
      <c r="C410">
        <v>67726.5</v>
      </c>
      <c r="D410">
        <v>5864989.5</v>
      </c>
      <c r="E410">
        <v>36</v>
      </c>
      <c r="F410">
        <v>4770</v>
      </c>
      <c r="G410">
        <v>4424</v>
      </c>
      <c r="H410">
        <v>162916.375</v>
      </c>
      <c r="I410">
        <v>22</v>
      </c>
    </row>
    <row r="411" spans="1:9" x14ac:dyDescent="0.3">
      <c r="A411" s="8">
        <v>43982</v>
      </c>
      <c r="B411" t="s">
        <v>15</v>
      </c>
      <c r="C411">
        <v>379663.5</v>
      </c>
      <c r="D411">
        <v>39380178</v>
      </c>
      <c r="E411">
        <v>124</v>
      </c>
      <c r="F411">
        <v>21392</v>
      </c>
      <c r="G411">
        <v>19869</v>
      </c>
      <c r="H411">
        <v>317582.08064516127</v>
      </c>
      <c r="I411">
        <v>22</v>
      </c>
    </row>
    <row r="412" spans="1:9" x14ac:dyDescent="0.3">
      <c r="A412" s="8">
        <v>43981</v>
      </c>
      <c r="B412" t="s">
        <v>15</v>
      </c>
      <c r="C412">
        <v>453123</v>
      </c>
      <c r="D412">
        <v>46370904</v>
      </c>
      <c r="E412">
        <v>124</v>
      </c>
      <c r="F412">
        <v>24325</v>
      </c>
      <c r="G412">
        <v>22469</v>
      </c>
      <c r="H412">
        <v>373958.90322580643</v>
      </c>
      <c r="I412">
        <v>22</v>
      </c>
    </row>
    <row r="413" spans="1:9" x14ac:dyDescent="0.3">
      <c r="A413" s="8">
        <v>43979</v>
      </c>
      <c r="B413" t="s">
        <v>15</v>
      </c>
      <c r="C413">
        <v>364638</v>
      </c>
      <c r="D413">
        <v>37947688.5</v>
      </c>
      <c r="E413">
        <v>124</v>
      </c>
      <c r="F413">
        <v>20868</v>
      </c>
      <c r="G413">
        <v>19342</v>
      </c>
      <c r="H413">
        <v>306029.74596774194</v>
      </c>
      <c r="I413">
        <v>22</v>
      </c>
    </row>
    <row r="414" spans="1:9" x14ac:dyDescent="0.3">
      <c r="A414" s="8">
        <v>43976</v>
      </c>
      <c r="B414" t="s">
        <v>16</v>
      </c>
      <c r="C414">
        <v>66316.5</v>
      </c>
      <c r="D414">
        <v>5704650</v>
      </c>
      <c r="E414">
        <v>36</v>
      </c>
      <c r="F414">
        <v>4641</v>
      </c>
      <c r="G414">
        <v>4274</v>
      </c>
      <c r="H414">
        <v>158462.5</v>
      </c>
      <c r="I414">
        <v>22</v>
      </c>
    </row>
    <row r="415" spans="1:9" x14ac:dyDescent="0.3">
      <c r="A415" s="8">
        <v>43977</v>
      </c>
      <c r="B415" t="s">
        <v>17</v>
      </c>
      <c r="C415">
        <v>40744.5</v>
      </c>
      <c r="D415">
        <v>3700311</v>
      </c>
      <c r="E415">
        <v>21</v>
      </c>
      <c r="F415">
        <v>2418</v>
      </c>
      <c r="G415">
        <v>2215</v>
      </c>
      <c r="H415">
        <v>176205.28571428571</v>
      </c>
      <c r="I415">
        <v>22</v>
      </c>
    </row>
    <row r="416" spans="1:9" x14ac:dyDescent="0.3">
      <c r="A416" s="8">
        <v>43982</v>
      </c>
      <c r="B416" t="s">
        <v>16</v>
      </c>
      <c r="C416">
        <v>76234.5</v>
      </c>
      <c r="D416">
        <v>6500848.5</v>
      </c>
      <c r="E416">
        <v>37</v>
      </c>
      <c r="F416">
        <v>5215</v>
      </c>
      <c r="G416">
        <v>4848</v>
      </c>
      <c r="H416">
        <v>175698.60810810811</v>
      </c>
      <c r="I416">
        <v>22</v>
      </c>
    </row>
    <row r="417" spans="1:9" x14ac:dyDescent="0.3">
      <c r="A417" s="8">
        <v>43981</v>
      </c>
      <c r="B417" t="s">
        <v>16</v>
      </c>
      <c r="C417">
        <v>106926</v>
      </c>
      <c r="D417">
        <v>9098386.5</v>
      </c>
      <c r="E417">
        <v>37</v>
      </c>
      <c r="F417">
        <v>6645</v>
      </c>
      <c r="G417">
        <v>6122</v>
      </c>
      <c r="H417">
        <v>245902.33783783784</v>
      </c>
      <c r="I417">
        <v>22</v>
      </c>
    </row>
    <row r="418" spans="1:9" x14ac:dyDescent="0.3">
      <c r="A418" s="8">
        <v>43979</v>
      </c>
      <c r="B418" t="s">
        <v>16</v>
      </c>
      <c r="C418">
        <v>69945</v>
      </c>
      <c r="D418">
        <v>6101931</v>
      </c>
      <c r="E418">
        <v>37</v>
      </c>
      <c r="F418">
        <v>4840</v>
      </c>
      <c r="G418">
        <v>4475</v>
      </c>
      <c r="H418">
        <v>164917.05405405405</v>
      </c>
      <c r="I418">
        <v>22</v>
      </c>
    </row>
    <row r="419" spans="1:9" x14ac:dyDescent="0.3">
      <c r="A419" s="8">
        <v>43976</v>
      </c>
      <c r="B419" t="s">
        <v>17</v>
      </c>
      <c r="C419">
        <v>38740.5</v>
      </c>
      <c r="D419">
        <v>3561655.5</v>
      </c>
      <c r="E419">
        <v>21</v>
      </c>
      <c r="F419">
        <v>2330</v>
      </c>
      <c r="G419">
        <v>2142</v>
      </c>
      <c r="H419">
        <v>169602.64285714287</v>
      </c>
      <c r="I419">
        <v>22</v>
      </c>
    </row>
    <row r="420" spans="1:9" x14ac:dyDescent="0.3">
      <c r="A420" s="8">
        <v>43982</v>
      </c>
      <c r="B420" t="s">
        <v>17</v>
      </c>
      <c r="C420">
        <v>42423</v>
      </c>
      <c r="D420">
        <v>3994153.5</v>
      </c>
      <c r="E420">
        <v>23</v>
      </c>
      <c r="F420">
        <v>2522</v>
      </c>
      <c r="G420">
        <v>2295</v>
      </c>
      <c r="H420">
        <v>173658.84782608695</v>
      </c>
      <c r="I420">
        <v>22</v>
      </c>
    </row>
    <row r="421" spans="1:9" x14ac:dyDescent="0.3">
      <c r="A421" s="8">
        <v>43981</v>
      </c>
      <c r="B421" t="s">
        <v>17</v>
      </c>
      <c r="C421">
        <v>48286.5</v>
      </c>
      <c r="D421">
        <v>4456441.5</v>
      </c>
      <c r="E421">
        <v>22</v>
      </c>
      <c r="F421">
        <v>2793</v>
      </c>
      <c r="G421">
        <v>2539</v>
      </c>
      <c r="H421">
        <v>202565.52272727274</v>
      </c>
      <c r="I421">
        <v>22</v>
      </c>
    </row>
    <row r="422" spans="1:9" x14ac:dyDescent="0.3">
      <c r="A422" s="8">
        <v>43979</v>
      </c>
      <c r="B422" t="s">
        <v>17</v>
      </c>
      <c r="C422">
        <v>41442</v>
      </c>
      <c r="D422">
        <v>3893680.5</v>
      </c>
      <c r="E422">
        <v>22</v>
      </c>
      <c r="F422">
        <v>2454</v>
      </c>
      <c r="G422">
        <v>2239</v>
      </c>
      <c r="H422">
        <v>176985.47727272726</v>
      </c>
      <c r="I422">
        <v>22</v>
      </c>
    </row>
    <row r="423" spans="1:9" x14ac:dyDescent="0.3">
      <c r="A423" s="8">
        <v>43977</v>
      </c>
      <c r="B423" t="s">
        <v>18</v>
      </c>
      <c r="C423">
        <v>17391</v>
      </c>
      <c r="D423">
        <v>1489132.5</v>
      </c>
      <c r="E423">
        <v>17</v>
      </c>
      <c r="F423">
        <v>1140</v>
      </c>
      <c r="G423">
        <v>1016</v>
      </c>
      <c r="H423">
        <v>87596.029411764699</v>
      </c>
      <c r="I423">
        <v>22</v>
      </c>
    </row>
    <row r="424" spans="1:9" x14ac:dyDescent="0.3">
      <c r="A424" s="8">
        <v>43976</v>
      </c>
      <c r="B424" t="s">
        <v>18</v>
      </c>
      <c r="C424">
        <v>17211</v>
      </c>
      <c r="D424">
        <v>1507867.5</v>
      </c>
      <c r="E424">
        <v>17</v>
      </c>
      <c r="F424">
        <v>1142</v>
      </c>
      <c r="G424">
        <v>1020</v>
      </c>
      <c r="H424">
        <v>88698.088235294112</v>
      </c>
      <c r="I424">
        <v>22</v>
      </c>
    </row>
    <row r="425" spans="1:9" x14ac:dyDescent="0.3">
      <c r="A425" s="8">
        <v>43977</v>
      </c>
      <c r="B425" t="s">
        <v>19</v>
      </c>
      <c r="C425">
        <v>12259.5</v>
      </c>
      <c r="D425">
        <v>1152054</v>
      </c>
      <c r="E425">
        <v>15</v>
      </c>
      <c r="F425">
        <v>812</v>
      </c>
      <c r="G425">
        <v>711</v>
      </c>
      <c r="H425">
        <v>76803.600000000006</v>
      </c>
      <c r="I425">
        <v>22</v>
      </c>
    </row>
    <row r="426" spans="1:9" x14ac:dyDescent="0.3">
      <c r="A426" s="8">
        <v>43982</v>
      </c>
      <c r="B426" t="s">
        <v>18</v>
      </c>
      <c r="C426">
        <v>17689.5</v>
      </c>
      <c r="D426">
        <v>1592119.5</v>
      </c>
      <c r="E426">
        <v>17</v>
      </c>
      <c r="F426">
        <v>1186</v>
      </c>
      <c r="G426">
        <v>1054</v>
      </c>
      <c r="H426">
        <v>93654.088235294112</v>
      </c>
      <c r="I426">
        <v>22</v>
      </c>
    </row>
    <row r="427" spans="1:9" x14ac:dyDescent="0.3">
      <c r="A427" s="8">
        <v>43981</v>
      </c>
      <c r="B427" t="s">
        <v>18</v>
      </c>
      <c r="C427">
        <v>27250.5</v>
      </c>
      <c r="D427">
        <v>2457252</v>
      </c>
      <c r="E427">
        <v>17</v>
      </c>
      <c r="F427">
        <v>1697</v>
      </c>
      <c r="G427">
        <v>1499</v>
      </c>
      <c r="H427">
        <v>144544.23529411765</v>
      </c>
      <c r="I427">
        <v>22</v>
      </c>
    </row>
    <row r="428" spans="1:9" x14ac:dyDescent="0.3">
      <c r="A428" s="8">
        <v>43979</v>
      </c>
      <c r="B428" t="s">
        <v>18</v>
      </c>
      <c r="C428">
        <v>16500</v>
      </c>
      <c r="D428">
        <v>1487928</v>
      </c>
      <c r="E428">
        <v>17</v>
      </c>
      <c r="F428">
        <v>1097</v>
      </c>
      <c r="G428">
        <v>968</v>
      </c>
      <c r="H428">
        <v>87525.176470588238</v>
      </c>
      <c r="I428">
        <v>22</v>
      </c>
    </row>
    <row r="429" spans="1:9" x14ac:dyDescent="0.3">
      <c r="A429" s="8">
        <v>43976</v>
      </c>
      <c r="B429" t="s">
        <v>19</v>
      </c>
      <c r="C429">
        <v>13260</v>
      </c>
      <c r="D429">
        <v>1230687</v>
      </c>
      <c r="E429">
        <v>15</v>
      </c>
      <c r="F429">
        <v>835</v>
      </c>
      <c r="G429">
        <v>736</v>
      </c>
      <c r="H429">
        <v>82045.8</v>
      </c>
      <c r="I429">
        <v>22</v>
      </c>
    </row>
    <row r="430" spans="1:9" x14ac:dyDescent="0.3">
      <c r="A430" s="8">
        <v>43977</v>
      </c>
      <c r="B430" t="s">
        <v>20</v>
      </c>
      <c r="C430">
        <v>27156</v>
      </c>
      <c r="D430">
        <v>2410803</v>
      </c>
      <c r="E430">
        <v>20</v>
      </c>
      <c r="F430">
        <v>1814</v>
      </c>
      <c r="G430">
        <v>1655</v>
      </c>
      <c r="H430">
        <v>120540.15</v>
      </c>
      <c r="I430">
        <v>22</v>
      </c>
    </row>
    <row r="431" spans="1:9" x14ac:dyDescent="0.3">
      <c r="A431" s="8">
        <v>43982</v>
      </c>
      <c r="B431" t="s">
        <v>19</v>
      </c>
      <c r="C431">
        <v>14808</v>
      </c>
      <c r="D431">
        <v>1336789.5</v>
      </c>
      <c r="E431">
        <v>16</v>
      </c>
      <c r="F431">
        <v>917</v>
      </c>
      <c r="G431">
        <v>802</v>
      </c>
      <c r="H431">
        <v>83549.34375</v>
      </c>
      <c r="I431">
        <v>22</v>
      </c>
    </row>
    <row r="432" spans="1:9" x14ac:dyDescent="0.3">
      <c r="A432" s="8">
        <v>43981</v>
      </c>
      <c r="B432" t="s">
        <v>19</v>
      </c>
      <c r="C432">
        <v>17946</v>
      </c>
      <c r="D432">
        <v>1609090.5</v>
      </c>
      <c r="E432">
        <v>16</v>
      </c>
      <c r="F432">
        <v>1048</v>
      </c>
      <c r="G432">
        <v>918</v>
      </c>
      <c r="H432">
        <v>100568.15625</v>
      </c>
      <c r="I432">
        <v>22</v>
      </c>
    </row>
    <row r="433" spans="1:9" x14ac:dyDescent="0.3">
      <c r="A433" s="8">
        <v>43979</v>
      </c>
      <c r="B433" t="s">
        <v>19</v>
      </c>
      <c r="C433">
        <v>13864.5</v>
      </c>
      <c r="D433">
        <v>1239747</v>
      </c>
      <c r="E433">
        <v>16</v>
      </c>
      <c r="F433">
        <v>876</v>
      </c>
      <c r="G433">
        <v>762</v>
      </c>
      <c r="H433">
        <v>77484.1875</v>
      </c>
      <c r="I433">
        <v>22</v>
      </c>
    </row>
    <row r="434" spans="1:9" x14ac:dyDescent="0.3">
      <c r="A434" s="8">
        <v>43976</v>
      </c>
      <c r="B434" t="s">
        <v>20</v>
      </c>
      <c r="C434">
        <v>28494</v>
      </c>
      <c r="D434">
        <v>2512803</v>
      </c>
      <c r="E434">
        <v>20</v>
      </c>
      <c r="F434">
        <v>1899</v>
      </c>
      <c r="G434">
        <v>1738</v>
      </c>
      <c r="H434">
        <v>125640.15</v>
      </c>
      <c r="I434">
        <v>22</v>
      </c>
    </row>
    <row r="435" spans="1:9" x14ac:dyDescent="0.3">
      <c r="A435" s="8">
        <v>43982</v>
      </c>
      <c r="B435" t="s">
        <v>20</v>
      </c>
      <c r="C435">
        <v>31372.5</v>
      </c>
      <c r="D435">
        <v>2794324.5</v>
      </c>
      <c r="E435">
        <v>21</v>
      </c>
      <c r="F435">
        <v>2056</v>
      </c>
      <c r="G435">
        <v>1879</v>
      </c>
      <c r="H435">
        <v>133063.07142857142</v>
      </c>
      <c r="I435">
        <v>22</v>
      </c>
    </row>
    <row r="436" spans="1:9" x14ac:dyDescent="0.3">
      <c r="A436" s="8">
        <v>43981</v>
      </c>
      <c r="B436" t="s">
        <v>20</v>
      </c>
      <c r="C436">
        <v>34681.5</v>
      </c>
      <c r="D436">
        <v>3005334</v>
      </c>
      <c r="E436">
        <v>20</v>
      </c>
      <c r="F436">
        <v>2174</v>
      </c>
      <c r="G436">
        <v>1957</v>
      </c>
      <c r="H436">
        <v>150266.70000000001</v>
      </c>
      <c r="I436">
        <v>22</v>
      </c>
    </row>
    <row r="437" spans="1:9" x14ac:dyDescent="0.3">
      <c r="A437" s="8">
        <v>43979</v>
      </c>
      <c r="B437" t="s">
        <v>20</v>
      </c>
      <c r="C437">
        <v>28197</v>
      </c>
      <c r="D437">
        <v>2559211.5</v>
      </c>
      <c r="E437">
        <v>20</v>
      </c>
      <c r="F437">
        <v>1875</v>
      </c>
      <c r="G437">
        <v>1701</v>
      </c>
      <c r="H437">
        <v>127960.575</v>
      </c>
      <c r="I437">
        <v>22</v>
      </c>
    </row>
    <row r="438" spans="1:9" x14ac:dyDescent="0.3">
      <c r="A438" s="8">
        <v>43977</v>
      </c>
      <c r="B438" t="s">
        <v>21</v>
      </c>
      <c r="C438">
        <v>244905</v>
      </c>
      <c r="D438">
        <v>25163431.5</v>
      </c>
      <c r="E438">
        <v>59</v>
      </c>
      <c r="F438">
        <v>15369</v>
      </c>
      <c r="G438">
        <v>14299</v>
      </c>
      <c r="H438">
        <v>426498.83898305084</v>
      </c>
      <c r="I438">
        <v>22</v>
      </c>
    </row>
    <row r="439" spans="1:9" x14ac:dyDescent="0.3">
      <c r="A439" s="8">
        <v>43976</v>
      </c>
      <c r="B439" t="s">
        <v>21</v>
      </c>
      <c r="C439">
        <v>198751.5</v>
      </c>
      <c r="D439">
        <v>20582743.5</v>
      </c>
      <c r="E439">
        <v>59</v>
      </c>
      <c r="F439">
        <v>12983</v>
      </c>
      <c r="G439">
        <v>12056</v>
      </c>
      <c r="H439">
        <v>348860.05932203389</v>
      </c>
      <c r="I439">
        <v>22</v>
      </c>
    </row>
    <row r="440" spans="1:9" x14ac:dyDescent="0.3">
      <c r="A440" s="8">
        <v>43977</v>
      </c>
      <c r="B440" t="s">
        <v>22</v>
      </c>
      <c r="C440">
        <v>232369.5</v>
      </c>
      <c r="D440">
        <v>23856345</v>
      </c>
      <c r="E440">
        <v>54</v>
      </c>
      <c r="F440">
        <v>14482</v>
      </c>
      <c r="G440">
        <v>13510</v>
      </c>
      <c r="H440">
        <v>441784.16666666669</v>
      </c>
      <c r="I440">
        <v>22</v>
      </c>
    </row>
    <row r="441" spans="1:9" x14ac:dyDescent="0.3">
      <c r="A441" s="8">
        <v>43982</v>
      </c>
      <c r="B441" t="s">
        <v>21</v>
      </c>
      <c r="C441">
        <v>215277</v>
      </c>
      <c r="D441">
        <v>21585316.5</v>
      </c>
      <c r="E441">
        <v>59</v>
      </c>
      <c r="F441">
        <v>13684</v>
      </c>
      <c r="G441">
        <v>12690</v>
      </c>
      <c r="H441">
        <v>365852.82203389832</v>
      </c>
      <c r="I441">
        <v>22</v>
      </c>
    </row>
    <row r="442" spans="1:9" x14ac:dyDescent="0.3">
      <c r="A442" s="8">
        <v>43981</v>
      </c>
      <c r="B442" t="s">
        <v>21</v>
      </c>
      <c r="C442">
        <v>246414</v>
      </c>
      <c r="D442">
        <v>24527245.5</v>
      </c>
      <c r="E442">
        <v>59</v>
      </c>
      <c r="F442">
        <v>15030</v>
      </c>
      <c r="G442">
        <v>13956</v>
      </c>
      <c r="H442">
        <v>415716.0254237288</v>
      </c>
      <c r="I442">
        <v>22</v>
      </c>
    </row>
    <row r="443" spans="1:9" x14ac:dyDescent="0.3">
      <c r="A443" s="8">
        <v>43979</v>
      </c>
      <c r="B443" t="s">
        <v>21</v>
      </c>
      <c r="C443">
        <v>199753.5</v>
      </c>
      <c r="D443">
        <v>20535733.5</v>
      </c>
      <c r="E443">
        <v>60</v>
      </c>
      <c r="F443">
        <v>12854</v>
      </c>
      <c r="G443">
        <v>11954</v>
      </c>
      <c r="H443">
        <v>342262.22499999998</v>
      </c>
      <c r="I443">
        <v>22</v>
      </c>
    </row>
    <row r="444" spans="1:9" x14ac:dyDescent="0.3">
      <c r="A444" s="8">
        <v>43976</v>
      </c>
      <c r="B444" t="s">
        <v>22</v>
      </c>
      <c r="C444">
        <v>192948</v>
      </c>
      <c r="D444">
        <v>19806927</v>
      </c>
      <c r="E444">
        <v>54</v>
      </c>
      <c r="F444">
        <v>12336</v>
      </c>
      <c r="G444">
        <v>11519</v>
      </c>
      <c r="H444">
        <v>366794.94444444444</v>
      </c>
      <c r="I444">
        <v>22</v>
      </c>
    </row>
    <row r="445" spans="1:9" x14ac:dyDescent="0.3">
      <c r="A445" s="8">
        <v>43982</v>
      </c>
      <c r="B445" t="s">
        <v>22</v>
      </c>
      <c r="C445">
        <v>206758.5</v>
      </c>
      <c r="D445">
        <v>20717248.5</v>
      </c>
      <c r="E445">
        <v>54</v>
      </c>
      <c r="F445">
        <v>13106</v>
      </c>
      <c r="G445">
        <v>12164</v>
      </c>
      <c r="H445">
        <v>383652.75</v>
      </c>
      <c r="I445">
        <v>22</v>
      </c>
    </row>
    <row r="446" spans="1:9" x14ac:dyDescent="0.3">
      <c r="A446" s="8">
        <v>43981</v>
      </c>
      <c r="B446" t="s">
        <v>22</v>
      </c>
      <c r="C446">
        <v>244734</v>
      </c>
      <c r="D446">
        <v>24151980</v>
      </c>
      <c r="E446">
        <v>54</v>
      </c>
      <c r="F446">
        <v>14590</v>
      </c>
      <c r="G446">
        <v>13551</v>
      </c>
      <c r="H446">
        <v>447258.88888888888</v>
      </c>
      <c r="I446">
        <v>22</v>
      </c>
    </row>
    <row r="447" spans="1:9" x14ac:dyDescent="0.3">
      <c r="A447" s="8">
        <v>43979</v>
      </c>
      <c r="B447" t="s">
        <v>22</v>
      </c>
      <c r="C447">
        <v>191641.5</v>
      </c>
      <c r="D447">
        <v>19549036.5</v>
      </c>
      <c r="E447">
        <v>54</v>
      </c>
      <c r="F447">
        <v>12409</v>
      </c>
      <c r="G447">
        <v>11582</v>
      </c>
      <c r="H447">
        <v>362019.19444444444</v>
      </c>
      <c r="I447">
        <v>22</v>
      </c>
    </row>
    <row r="448" spans="1:9" x14ac:dyDescent="0.3">
      <c r="A448" s="8">
        <v>43977</v>
      </c>
      <c r="B448" t="s">
        <v>24</v>
      </c>
      <c r="C448">
        <v>10437</v>
      </c>
      <c r="D448">
        <v>833815.5</v>
      </c>
      <c r="E448">
        <v>7</v>
      </c>
      <c r="F448">
        <v>577</v>
      </c>
      <c r="G448">
        <v>389</v>
      </c>
      <c r="H448">
        <v>119116.5</v>
      </c>
      <c r="I448">
        <v>22</v>
      </c>
    </row>
    <row r="449" spans="1:9" x14ac:dyDescent="0.3">
      <c r="A449" s="8">
        <v>43976</v>
      </c>
      <c r="B449" t="s">
        <v>23</v>
      </c>
      <c r="C449">
        <v>15807</v>
      </c>
      <c r="D449">
        <v>1326705</v>
      </c>
      <c r="E449">
        <v>18</v>
      </c>
      <c r="F449">
        <v>989</v>
      </c>
      <c r="G449">
        <v>887</v>
      </c>
      <c r="H449">
        <v>73705.833333333328</v>
      </c>
      <c r="I449">
        <v>22</v>
      </c>
    </row>
    <row r="450" spans="1:9" x14ac:dyDescent="0.3">
      <c r="A450" s="8">
        <v>43977</v>
      </c>
      <c r="B450" t="s">
        <v>23</v>
      </c>
      <c r="C450">
        <v>14419.5</v>
      </c>
      <c r="D450">
        <v>1210456.5</v>
      </c>
      <c r="E450">
        <v>18</v>
      </c>
      <c r="F450">
        <v>914</v>
      </c>
      <c r="G450">
        <v>804</v>
      </c>
      <c r="H450">
        <v>67247.583333333328</v>
      </c>
      <c r="I450">
        <v>22</v>
      </c>
    </row>
    <row r="451" spans="1:9" x14ac:dyDescent="0.3">
      <c r="A451" s="8">
        <v>43982</v>
      </c>
      <c r="B451" t="s">
        <v>25</v>
      </c>
      <c r="C451">
        <v>6409.5</v>
      </c>
      <c r="D451">
        <v>493893</v>
      </c>
      <c r="E451">
        <v>9</v>
      </c>
      <c r="F451">
        <v>345</v>
      </c>
      <c r="G451">
        <v>255</v>
      </c>
      <c r="H451">
        <v>54877</v>
      </c>
      <c r="I451">
        <v>22</v>
      </c>
    </row>
    <row r="452" spans="1:9" x14ac:dyDescent="0.3">
      <c r="A452" s="8">
        <v>43981</v>
      </c>
      <c r="B452" t="s">
        <v>24</v>
      </c>
      <c r="C452">
        <v>11220</v>
      </c>
      <c r="D452">
        <v>928675.5</v>
      </c>
      <c r="E452">
        <v>7</v>
      </c>
      <c r="F452">
        <v>532</v>
      </c>
      <c r="G452">
        <v>449</v>
      </c>
      <c r="H452">
        <v>132667.92857142858</v>
      </c>
      <c r="I452">
        <v>22</v>
      </c>
    </row>
    <row r="453" spans="1:9" x14ac:dyDescent="0.3">
      <c r="A453" s="8">
        <v>43980</v>
      </c>
      <c r="B453" t="s">
        <v>9</v>
      </c>
      <c r="C453">
        <v>8350.5</v>
      </c>
      <c r="D453">
        <v>651237</v>
      </c>
      <c r="E453">
        <v>15</v>
      </c>
      <c r="F453">
        <v>400</v>
      </c>
      <c r="G453">
        <v>329</v>
      </c>
      <c r="H453">
        <v>43415.8</v>
      </c>
      <c r="I453">
        <v>22</v>
      </c>
    </row>
    <row r="454" spans="1:9" x14ac:dyDescent="0.3">
      <c r="A454" s="8">
        <v>43979</v>
      </c>
      <c r="B454" t="s">
        <v>24</v>
      </c>
      <c r="C454">
        <v>8428.5</v>
      </c>
      <c r="D454">
        <v>694669.5</v>
      </c>
      <c r="E454">
        <v>7</v>
      </c>
      <c r="F454">
        <v>420</v>
      </c>
      <c r="G454">
        <v>347</v>
      </c>
      <c r="H454">
        <v>99238.5</v>
      </c>
      <c r="I454">
        <v>22</v>
      </c>
    </row>
    <row r="455" spans="1:9" x14ac:dyDescent="0.3">
      <c r="A455" s="8">
        <v>43978</v>
      </c>
      <c r="B455" t="s">
        <v>10</v>
      </c>
      <c r="C455">
        <v>32817</v>
      </c>
      <c r="D455">
        <v>3015751.5</v>
      </c>
      <c r="E455">
        <v>20</v>
      </c>
      <c r="F455">
        <v>2079</v>
      </c>
      <c r="G455">
        <v>1893</v>
      </c>
      <c r="H455">
        <v>150787.57500000001</v>
      </c>
      <c r="I455">
        <v>22</v>
      </c>
    </row>
    <row r="456" spans="1:9" x14ac:dyDescent="0.3">
      <c r="A456" s="8">
        <v>43982</v>
      </c>
      <c r="B456" t="s">
        <v>26</v>
      </c>
      <c r="C456">
        <v>5127</v>
      </c>
      <c r="D456">
        <v>468835.5</v>
      </c>
      <c r="E456">
        <v>6</v>
      </c>
      <c r="F456">
        <v>261</v>
      </c>
      <c r="G456">
        <v>188</v>
      </c>
      <c r="H456">
        <v>78139.25</v>
      </c>
      <c r="I456">
        <v>22</v>
      </c>
    </row>
    <row r="457" spans="1:9" x14ac:dyDescent="0.3">
      <c r="A457" s="8">
        <v>43981</v>
      </c>
      <c r="B457" t="s">
        <v>23</v>
      </c>
      <c r="C457">
        <v>20688</v>
      </c>
      <c r="D457">
        <v>1773154.5</v>
      </c>
      <c r="E457">
        <v>18</v>
      </c>
      <c r="F457">
        <v>1216</v>
      </c>
      <c r="G457">
        <v>1101</v>
      </c>
      <c r="H457">
        <v>98508.583333333328</v>
      </c>
      <c r="I457">
        <v>22</v>
      </c>
    </row>
    <row r="458" spans="1:9" x14ac:dyDescent="0.3">
      <c r="A458" s="8">
        <v>43979</v>
      </c>
      <c r="B458" t="s">
        <v>23</v>
      </c>
      <c r="C458">
        <v>15678</v>
      </c>
      <c r="D458">
        <v>1387443</v>
      </c>
      <c r="E458">
        <v>18</v>
      </c>
      <c r="F458">
        <v>1020</v>
      </c>
      <c r="G458">
        <v>911</v>
      </c>
      <c r="H458">
        <v>77080.166666666672</v>
      </c>
      <c r="I458">
        <v>22</v>
      </c>
    </row>
    <row r="459" spans="1:9" x14ac:dyDescent="0.3">
      <c r="A459" s="8">
        <v>43982</v>
      </c>
      <c r="B459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v>123717.64285714286</v>
      </c>
      <c r="I459">
        <v>22</v>
      </c>
    </row>
    <row r="460" spans="1:9" x14ac:dyDescent="0.3">
      <c r="A460" s="8">
        <v>43980</v>
      </c>
      <c r="B460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v>159658.35</v>
      </c>
      <c r="I460">
        <v>22</v>
      </c>
    </row>
    <row r="461" spans="1:9" x14ac:dyDescent="0.3">
      <c r="A461" s="8">
        <v>43978</v>
      </c>
      <c r="B461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v>216163.98387096773</v>
      </c>
      <c r="I461">
        <v>22</v>
      </c>
    </row>
    <row r="462" spans="1:9" x14ac:dyDescent="0.3">
      <c r="A462" s="8">
        <v>43982</v>
      </c>
      <c r="B462" t="s">
        <v>23</v>
      </c>
      <c r="C462">
        <v>16143</v>
      </c>
      <c r="D462">
        <v>1423410</v>
      </c>
      <c r="E462">
        <v>18</v>
      </c>
      <c r="F462">
        <v>1029</v>
      </c>
      <c r="G462">
        <v>925</v>
      </c>
      <c r="H462">
        <v>79078.333333333328</v>
      </c>
      <c r="I462">
        <v>22</v>
      </c>
    </row>
    <row r="463" spans="1:9" x14ac:dyDescent="0.3">
      <c r="A463" s="8">
        <v>43978</v>
      </c>
      <c r="B463" t="s">
        <v>12</v>
      </c>
      <c r="C463">
        <v>12490.5</v>
      </c>
      <c r="D463">
        <v>1054798.5</v>
      </c>
      <c r="E463">
        <v>10</v>
      </c>
      <c r="F463">
        <v>757</v>
      </c>
      <c r="G463">
        <v>660</v>
      </c>
      <c r="H463">
        <v>105479.85</v>
      </c>
      <c r="I463">
        <v>22</v>
      </c>
    </row>
    <row r="464" spans="1:9" x14ac:dyDescent="0.3">
      <c r="A464" s="8">
        <v>43980</v>
      </c>
      <c r="B464" t="s">
        <v>11</v>
      </c>
      <c r="C464">
        <v>87552</v>
      </c>
      <c r="D464">
        <v>7387116</v>
      </c>
      <c r="E464">
        <v>31</v>
      </c>
      <c r="F464">
        <v>5751</v>
      </c>
      <c r="G464">
        <v>5319</v>
      </c>
      <c r="H464">
        <v>238294.06451612903</v>
      </c>
      <c r="I464">
        <v>22</v>
      </c>
    </row>
    <row r="465" spans="1:9" x14ac:dyDescent="0.3">
      <c r="A465" s="8">
        <v>43980</v>
      </c>
      <c r="B465" t="s">
        <v>12</v>
      </c>
      <c r="C465">
        <v>14823</v>
      </c>
      <c r="D465">
        <v>1273464</v>
      </c>
      <c r="E465">
        <v>10</v>
      </c>
      <c r="F465">
        <v>873</v>
      </c>
      <c r="G465">
        <v>770</v>
      </c>
      <c r="H465">
        <v>127346.4</v>
      </c>
      <c r="I465">
        <v>22</v>
      </c>
    </row>
    <row r="466" spans="1:9" x14ac:dyDescent="0.3">
      <c r="A466" s="8">
        <v>43978</v>
      </c>
      <c r="B466" t="s">
        <v>13</v>
      </c>
      <c r="C466">
        <v>31257</v>
      </c>
      <c r="D466">
        <v>2924133</v>
      </c>
      <c r="E466">
        <v>20</v>
      </c>
      <c r="F466">
        <v>2079</v>
      </c>
      <c r="G466">
        <v>1856</v>
      </c>
      <c r="H466">
        <v>146206.65</v>
      </c>
      <c r="I466">
        <v>22</v>
      </c>
    </row>
    <row r="467" spans="1:9" x14ac:dyDescent="0.3">
      <c r="A467" s="8">
        <v>43980</v>
      </c>
      <c r="B467" t="s">
        <v>13</v>
      </c>
      <c r="C467">
        <v>35346</v>
      </c>
      <c r="D467">
        <v>3258054</v>
      </c>
      <c r="E467">
        <v>20</v>
      </c>
      <c r="F467">
        <v>2249</v>
      </c>
      <c r="G467">
        <v>2000</v>
      </c>
      <c r="H467">
        <v>162902.70000000001</v>
      </c>
      <c r="I467">
        <v>22</v>
      </c>
    </row>
    <row r="468" spans="1:9" x14ac:dyDescent="0.3">
      <c r="A468" s="8">
        <v>43978</v>
      </c>
      <c r="B468" t="s">
        <v>14</v>
      </c>
      <c r="C468">
        <v>286558.5</v>
      </c>
      <c r="D468">
        <v>29256993</v>
      </c>
      <c r="E468" t="e">
        <v>#N/A</v>
      </c>
      <c r="F468" t="e">
        <v>#N/A</v>
      </c>
      <c r="G468" t="e">
        <v>#N/A</v>
      </c>
      <c r="H468">
        <v>0</v>
      </c>
      <c r="I468">
        <v>22</v>
      </c>
    </row>
    <row r="469" spans="1:9" x14ac:dyDescent="0.3">
      <c r="A469" s="8">
        <v>43978</v>
      </c>
      <c r="B469" t="s">
        <v>15</v>
      </c>
      <c r="C469">
        <v>370012.5</v>
      </c>
      <c r="D469">
        <v>39034861.5</v>
      </c>
      <c r="E469" t="e">
        <v>#N/A</v>
      </c>
      <c r="F469" t="e">
        <v>#N/A</v>
      </c>
      <c r="G469" t="e">
        <v>#N/A</v>
      </c>
      <c r="H469">
        <v>0</v>
      </c>
      <c r="I469">
        <v>22</v>
      </c>
    </row>
    <row r="470" spans="1:9" x14ac:dyDescent="0.3">
      <c r="A470" s="8">
        <v>43980</v>
      </c>
      <c r="B470" t="s">
        <v>14</v>
      </c>
      <c r="C470">
        <v>422965.5</v>
      </c>
      <c r="D470">
        <v>41767140.105000004</v>
      </c>
      <c r="E470">
        <v>129</v>
      </c>
      <c r="F470">
        <v>22403</v>
      </c>
      <c r="G470">
        <v>20676</v>
      </c>
      <c r="H470">
        <v>323776.27988372097</v>
      </c>
      <c r="I470">
        <v>22</v>
      </c>
    </row>
    <row r="471" spans="1:9" x14ac:dyDescent="0.3">
      <c r="A471" s="8">
        <v>43978</v>
      </c>
      <c r="B471" t="s">
        <v>16</v>
      </c>
      <c r="C471">
        <v>69010.5</v>
      </c>
      <c r="D471">
        <v>5985894</v>
      </c>
      <c r="E471" t="e">
        <v>#N/A</v>
      </c>
      <c r="F471" t="e">
        <v>#N/A</v>
      </c>
      <c r="G471" t="e">
        <v>#N/A</v>
      </c>
      <c r="H471">
        <v>0</v>
      </c>
      <c r="I471">
        <v>22</v>
      </c>
    </row>
    <row r="472" spans="1:9" x14ac:dyDescent="0.3">
      <c r="A472" s="8">
        <v>43980</v>
      </c>
      <c r="B472" t="s">
        <v>15</v>
      </c>
      <c r="C472">
        <v>524481</v>
      </c>
      <c r="D472">
        <v>54172029</v>
      </c>
      <c r="E472">
        <v>124</v>
      </c>
      <c r="F472">
        <v>25828</v>
      </c>
      <c r="G472">
        <v>23974</v>
      </c>
      <c r="H472">
        <v>436871.20161290321</v>
      </c>
      <c r="I472">
        <v>22</v>
      </c>
    </row>
    <row r="473" spans="1:9" x14ac:dyDescent="0.3">
      <c r="A473" s="8">
        <v>43978</v>
      </c>
      <c r="B473" t="s">
        <v>17</v>
      </c>
      <c r="C473">
        <v>40420.5</v>
      </c>
      <c r="D473">
        <v>3780852</v>
      </c>
      <c r="E473" t="e">
        <v>#N/A</v>
      </c>
      <c r="F473" t="e">
        <v>#N/A</v>
      </c>
      <c r="G473" t="e">
        <v>#N/A</v>
      </c>
      <c r="H473">
        <v>0</v>
      </c>
      <c r="I473">
        <v>22</v>
      </c>
    </row>
    <row r="474" spans="1:9" x14ac:dyDescent="0.3">
      <c r="A474" s="8">
        <v>43980</v>
      </c>
      <c r="B474" t="s">
        <v>16</v>
      </c>
      <c r="C474">
        <v>84433.5</v>
      </c>
      <c r="D474">
        <v>7228395</v>
      </c>
      <c r="E474" t="e">
        <v>#N/A</v>
      </c>
      <c r="F474" t="e">
        <v>#N/A</v>
      </c>
      <c r="G474" t="e">
        <v>#N/A</v>
      </c>
      <c r="H474">
        <v>0</v>
      </c>
      <c r="I474">
        <v>22</v>
      </c>
    </row>
    <row r="475" spans="1:9" x14ac:dyDescent="0.3">
      <c r="A475" s="8">
        <v>43980</v>
      </c>
      <c r="B475" t="s">
        <v>17</v>
      </c>
      <c r="C475">
        <v>44569.5</v>
      </c>
      <c r="D475">
        <v>4108596</v>
      </c>
      <c r="E475" t="e">
        <v>#N/A</v>
      </c>
      <c r="F475" t="e">
        <v>#N/A</v>
      </c>
      <c r="G475" t="e">
        <v>#N/A</v>
      </c>
      <c r="H475">
        <v>0</v>
      </c>
      <c r="I475">
        <v>22</v>
      </c>
    </row>
    <row r="476" spans="1:9" x14ac:dyDescent="0.3">
      <c r="A476" s="8">
        <v>43978</v>
      </c>
      <c r="B476" t="s">
        <v>18</v>
      </c>
      <c r="C476">
        <v>18069</v>
      </c>
      <c r="D476">
        <v>1603084.5</v>
      </c>
      <c r="E476" t="e">
        <v>#N/A</v>
      </c>
      <c r="F476" t="e">
        <v>#N/A</v>
      </c>
      <c r="G476" t="e">
        <v>#N/A</v>
      </c>
      <c r="H476">
        <v>0</v>
      </c>
      <c r="I476">
        <v>22</v>
      </c>
    </row>
    <row r="477" spans="1:9" x14ac:dyDescent="0.3">
      <c r="A477" s="8">
        <v>43978</v>
      </c>
      <c r="B477" t="s">
        <v>19</v>
      </c>
      <c r="C477">
        <v>13203</v>
      </c>
      <c r="D477">
        <v>1211457</v>
      </c>
      <c r="E477" t="e">
        <v>#N/A</v>
      </c>
      <c r="F477" t="e">
        <v>#N/A</v>
      </c>
      <c r="G477" t="e">
        <v>#N/A</v>
      </c>
      <c r="H477">
        <v>0</v>
      </c>
      <c r="I477">
        <v>22</v>
      </c>
    </row>
    <row r="478" spans="1:9" x14ac:dyDescent="0.3">
      <c r="A478" s="8">
        <v>43980</v>
      </c>
      <c r="B478" t="s">
        <v>18</v>
      </c>
      <c r="C478">
        <v>19647</v>
      </c>
      <c r="D478">
        <v>1764669</v>
      </c>
      <c r="E478" t="e">
        <v>#N/A</v>
      </c>
      <c r="F478" t="e">
        <v>#N/A</v>
      </c>
      <c r="G478" t="e">
        <v>#N/A</v>
      </c>
      <c r="H478">
        <v>0</v>
      </c>
      <c r="I478">
        <v>22</v>
      </c>
    </row>
    <row r="479" spans="1:9" x14ac:dyDescent="0.3">
      <c r="A479" s="8">
        <v>43978</v>
      </c>
      <c r="B479" t="s">
        <v>20</v>
      </c>
      <c r="C479">
        <v>28050</v>
      </c>
      <c r="D479">
        <v>2458555.5</v>
      </c>
      <c r="E479" t="e">
        <v>#N/A</v>
      </c>
      <c r="F479" t="e">
        <v>#N/A</v>
      </c>
      <c r="G479" t="e">
        <v>#N/A</v>
      </c>
      <c r="H479">
        <v>0</v>
      </c>
      <c r="I479">
        <v>22</v>
      </c>
    </row>
    <row r="480" spans="1:9" x14ac:dyDescent="0.3">
      <c r="A480" s="8">
        <v>43980</v>
      </c>
      <c r="B480" t="s">
        <v>19</v>
      </c>
      <c r="C480">
        <v>17052</v>
      </c>
      <c r="D480">
        <v>1549020</v>
      </c>
      <c r="E480" t="e">
        <v>#N/A</v>
      </c>
      <c r="F480" t="e">
        <v>#N/A</v>
      </c>
      <c r="G480" t="e">
        <v>#N/A</v>
      </c>
      <c r="H480">
        <v>0</v>
      </c>
      <c r="I480">
        <v>22</v>
      </c>
    </row>
    <row r="481" spans="1:9" x14ac:dyDescent="0.3">
      <c r="A481" s="8">
        <v>43980</v>
      </c>
      <c r="B481" t="s">
        <v>20</v>
      </c>
      <c r="C481">
        <v>32782.5</v>
      </c>
      <c r="D481">
        <v>2854741.5</v>
      </c>
      <c r="E481" t="e">
        <v>#N/A</v>
      </c>
      <c r="F481" t="e">
        <v>#N/A</v>
      </c>
      <c r="G481" t="e">
        <v>#N/A</v>
      </c>
      <c r="H481">
        <v>0</v>
      </c>
      <c r="I481">
        <v>22</v>
      </c>
    </row>
    <row r="482" spans="1:9" x14ac:dyDescent="0.3">
      <c r="A482" s="8">
        <v>43978</v>
      </c>
      <c r="B482" t="s">
        <v>21</v>
      </c>
      <c r="C482">
        <v>215592</v>
      </c>
      <c r="D482">
        <v>22342300.5</v>
      </c>
      <c r="E482" t="e">
        <v>#N/A</v>
      </c>
      <c r="F482" t="e">
        <v>#N/A</v>
      </c>
      <c r="G482" t="e">
        <v>#N/A</v>
      </c>
      <c r="H482">
        <v>0</v>
      </c>
      <c r="I482">
        <v>22</v>
      </c>
    </row>
    <row r="483" spans="1:9" x14ac:dyDescent="0.3">
      <c r="A483" s="8">
        <v>43978</v>
      </c>
      <c r="B483" t="s">
        <v>22</v>
      </c>
      <c r="C483">
        <v>203532</v>
      </c>
      <c r="D483">
        <v>20953324.5</v>
      </c>
      <c r="E483" t="e">
        <v>#N/A</v>
      </c>
      <c r="F483" t="e">
        <v>#N/A</v>
      </c>
      <c r="G483" t="e">
        <v>#N/A</v>
      </c>
      <c r="H483">
        <v>0</v>
      </c>
      <c r="I483">
        <v>22</v>
      </c>
    </row>
    <row r="484" spans="1:9" x14ac:dyDescent="0.3">
      <c r="A484" s="8">
        <v>43980</v>
      </c>
      <c r="B484" t="s">
        <v>21</v>
      </c>
      <c r="C484">
        <v>232102.5</v>
      </c>
      <c r="D484">
        <v>23120443.5</v>
      </c>
      <c r="E484" t="e">
        <v>#N/A</v>
      </c>
      <c r="F484" t="e">
        <v>#N/A</v>
      </c>
      <c r="G484" t="e">
        <v>#N/A</v>
      </c>
      <c r="H484">
        <v>0</v>
      </c>
      <c r="I484">
        <v>22</v>
      </c>
    </row>
    <row r="485" spans="1:9" x14ac:dyDescent="0.3">
      <c r="A485" s="8">
        <v>43980</v>
      </c>
      <c r="B485" t="s">
        <v>22</v>
      </c>
      <c r="C485">
        <v>226476</v>
      </c>
      <c r="D485">
        <v>22416151.5</v>
      </c>
      <c r="E485" t="e">
        <v>#N/A</v>
      </c>
      <c r="F485" t="e">
        <v>#N/A</v>
      </c>
      <c r="G485" t="e">
        <v>#N/A</v>
      </c>
      <c r="H485">
        <v>0</v>
      </c>
      <c r="I485">
        <v>22</v>
      </c>
    </row>
    <row r="486" spans="1:9" x14ac:dyDescent="0.3">
      <c r="A486" s="8">
        <v>43978</v>
      </c>
      <c r="B486" t="s">
        <v>24</v>
      </c>
      <c r="C486">
        <v>8362.5</v>
      </c>
      <c r="D486">
        <v>687684</v>
      </c>
      <c r="E486" t="e">
        <v>#N/A</v>
      </c>
      <c r="F486" t="e">
        <v>#N/A</v>
      </c>
      <c r="G486" t="e">
        <v>#N/A</v>
      </c>
      <c r="H486">
        <v>0</v>
      </c>
      <c r="I486">
        <v>22</v>
      </c>
    </row>
    <row r="487" spans="1:9" x14ac:dyDescent="0.3">
      <c r="A487" s="8">
        <v>43978</v>
      </c>
      <c r="B487" t="s">
        <v>23</v>
      </c>
      <c r="C487">
        <v>15276</v>
      </c>
      <c r="D487">
        <v>1350199.5</v>
      </c>
      <c r="E487" t="e">
        <v>#N/A</v>
      </c>
      <c r="F487" t="e">
        <v>#N/A</v>
      </c>
      <c r="G487" t="e">
        <v>#N/A</v>
      </c>
      <c r="H487">
        <v>0</v>
      </c>
      <c r="I487">
        <v>22</v>
      </c>
    </row>
    <row r="488" spans="1:9" x14ac:dyDescent="0.3">
      <c r="A488" s="8">
        <v>43980</v>
      </c>
      <c r="B488" t="s">
        <v>24</v>
      </c>
      <c r="C488">
        <v>9927</v>
      </c>
      <c r="D488">
        <v>850840.5</v>
      </c>
      <c r="E488" t="e">
        <v>#N/A</v>
      </c>
      <c r="F488" t="e">
        <v>#N/A</v>
      </c>
      <c r="G488" t="e">
        <v>#N/A</v>
      </c>
      <c r="H488">
        <v>0</v>
      </c>
      <c r="I488">
        <v>22</v>
      </c>
    </row>
    <row r="489" spans="1:9" x14ac:dyDescent="0.3">
      <c r="A489" s="8">
        <v>43980</v>
      </c>
      <c r="B489" t="s">
        <v>23</v>
      </c>
      <c r="C489">
        <v>16878</v>
      </c>
      <c r="D489">
        <v>1438255.5</v>
      </c>
      <c r="E489" t="e">
        <v>#N/A</v>
      </c>
      <c r="F489" t="e">
        <v>#N/A</v>
      </c>
      <c r="G489" t="e">
        <v>#N/A</v>
      </c>
      <c r="H489">
        <v>0</v>
      </c>
      <c r="I489">
        <v>22</v>
      </c>
    </row>
    <row r="490" spans="1:9" x14ac:dyDescent="0.3">
      <c r="A490" s="8">
        <v>43983</v>
      </c>
      <c r="B490" t="s">
        <v>9</v>
      </c>
      <c r="C490">
        <v>7816.5</v>
      </c>
      <c r="D490">
        <v>636345</v>
      </c>
      <c r="E490">
        <v>15</v>
      </c>
      <c r="F490">
        <v>453</v>
      </c>
      <c r="G490">
        <v>370</v>
      </c>
      <c r="H490">
        <v>42423</v>
      </c>
      <c r="I490">
        <v>23</v>
      </c>
    </row>
    <row r="491" spans="1:9" x14ac:dyDescent="0.3">
      <c r="A491" s="8">
        <v>43983</v>
      </c>
      <c r="B491" t="s">
        <v>10</v>
      </c>
      <c r="C491">
        <v>31947</v>
      </c>
      <c r="D491">
        <v>2945035.5</v>
      </c>
      <c r="E491">
        <v>21</v>
      </c>
      <c r="F491">
        <v>2025</v>
      </c>
      <c r="G491">
        <v>1849</v>
      </c>
      <c r="H491">
        <v>140239.78571428571</v>
      </c>
      <c r="I491">
        <v>23</v>
      </c>
    </row>
    <row r="492" spans="1:9" x14ac:dyDescent="0.3">
      <c r="A492" s="8">
        <v>43983</v>
      </c>
      <c r="B492" t="s">
        <v>11</v>
      </c>
      <c r="C492">
        <v>77269.5</v>
      </c>
      <c r="D492">
        <v>6829921.5</v>
      </c>
      <c r="E492">
        <v>31</v>
      </c>
      <c r="F492">
        <v>5468</v>
      </c>
      <c r="G492">
        <v>5081</v>
      </c>
      <c r="H492">
        <v>220320.04838709679</v>
      </c>
      <c r="I492">
        <v>23</v>
      </c>
    </row>
    <row r="493" spans="1:9" x14ac:dyDescent="0.3">
      <c r="A493" s="8">
        <v>43983</v>
      </c>
      <c r="B493" t="s">
        <v>12</v>
      </c>
      <c r="C493">
        <v>11416.5</v>
      </c>
      <c r="D493">
        <v>1007742</v>
      </c>
      <c r="E493">
        <v>10</v>
      </c>
      <c r="F493">
        <v>719</v>
      </c>
      <c r="G493">
        <v>627</v>
      </c>
      <c r="H493">
        <v>100774.2</v>
      </c>
      <c r="I493">
        <v>23</v>
      </c>
    </row>
    <row r="494" spans="1:9" x14ac:dyDescent="0.3">
      <c r="A494" s="8">
        <v>43983</v>
      </c>
      <c r="B494" t="s">
        <v>13</v>
      </c>
      <c r="C494">
        <v>32170.5</v>
      </c>
      <c r="D494">
        <v>3013512</v>
      </c>
      <c r="E494">
        <v>20</v>
      </c>
      <c r="F494">
        <v>2136</v>
      </c>
      <c r="G494">
        <v>1899</v>
      </c>
      <c r="H494">
        <v>150675.6</v>
      </c>
      <c r="I494">
        <v>23</v>
      </c>
    </row>
    <row r="495" spans="1:9" x14ac:dyDescent="0.3">
      <c r="A495" s="8">
        <v>43983</v>
      </c>
      <c r="B495" t="s">
        <v>14</v>
      </c>
      <c r="C495">
        <v>272926.5</v>
      </c>
      <c r="D495">
        <v>27770092.5</v>
      </c>
      <c r="E495">
        <v>128</v>
      </c>
      <c r="F495">
        <v>16285</v>
      </c>
      <c r="G495">
        <v>15130</v>
      </c>
      <c r="H495">
        <v>216953.84765625</v>
      </c>
      <c r="I495">
        <v>23</v>
      </c>
    </row>
    <row r="496" spans="1:9" x14ac:dyDescent="0.3">
      <c r="A496" s="8">
        <v>43983</v>
      </c>
      <c r="B496" t="s">
        <v>15</v>
      </c>
      <c r="C496">
        <v>349699.5</v>
      </c>
      <c r="D496">
        <v>37257840.18135</v>
      </c>
      <c r="E496">
        <v>123</v>
      </c>
      <c r="F496">
        <v>20325</v>
      </c>
      <c r="G496">
        <v>18935</v>
      </c>
      <c r="H496">
        <v>302909.26976707316</v>
      </c>
      <c r="I496">
        <v>23</v>
      </c>
    </row>
    <row r="497" spans="1:9" x14ac:dyDescent="0.3">
      <c r="A497" s="8">
        <v>43983</v>
      </c>
      <c r="B497" t="s">
        <v>16</v>
      </c>
      <c r="C497">
        <v>64740</v>
      </c>
      <c r="D497">
        <v>5800290</v>
      </c>
      <c r="E497">
        <v>37</v>
      </c>
      <c r="F497">
        <v>4722</v>
      </c>
      <c r="G497">
        <v>4352</v>
      </c>
      <c r="H497">
        <v>156764.59459459459</v>
      </c>
      <c r="I497">
        <v>23</v>
      </c>
    </row>
    <row r="498" spans="1:9" x14ac:dyDescent="0.3">
      <c r="A498" s="8">
        <v>43983</v>
      </c>
      <c r="B498" t="s">
        <v>17</v>
      </c>
      <c r="C498">
        <v>40528.5</v>
      </c>
      <c r="D498">
        <v>3865251</v>
      </c>
      <c r="E498">
        <v>23</v>
      </c>
      <c r="F498">
        <v>2531</v>
      </c>
      <c r="G498">
        <v>2296</v>
      </c>
      <c r="H498">
        <v>168054.39130434784</v>
      </c>
      <c r="I498">
        <v>23</v>
      </c>
    </row>
    <row r="499" spans="1:9" x14ac:dyDescent="0.3">
      <c r="A499" s="8">
        <v>43983</v>
      </c>
      <c r="B499" t="s">
        <v>18</v>
      </c>
      <c r="C499">
        <v>16687.5</v>
      </c>
      <c r="D499">
        <v>1526608.5</v>
      </c>
      <c r="E499">
        <v>17</v>
      </c>
      <c r="F499">
        <v>1185</v>
      </c>
      <c r="G499">
        <v>1042</v>
      </c>
      <c r="H499">
        <v>89800.5</v>
      </c>
      <c r="I499">
        <v>23</v>
      </c>
    </row>
    <row r="500" spans="1:9" x14ac:dyDescent="0.3">
      <c r="A500" s="8">
        <v>43983</v>
      </c>
      <c r="B500" t="s">
        <v>19</v>
      </c>
      <c r="C500">
        <v>16476</v>
      </c>
      <c r="D500">
        <v>1565632.5</v>
      </c>
      <c r="E500">
        <v>16</v>
      </c>
      <c r="F500">
        <v>1019</v>
      </c>
      <c r="G500">
        <v>895</v>
      </c>
      <c r="H500">
        <v>97852.03125</v>
      </c>
      <c r="I500">
        <v>23</v>
      </c>
    </row>
    <row r="501" spans="1:9" x14ac:dyDescent="0.3">
      <c r="A501" s="8">
        <v>43983</v>
      </c>
      <c r="B501" t="s">
        <v>20</v>
      </c>
      <c r="C501">
        <v>27960</v>
      </c>
      <c r="D501">
        <v>2538967.5</v>
      </c>
      <c r="E501">
        <v>21</v>
      </c>
      <c r="F501">
        <v>1879</v>
      </c>
      <c r="G501">
        <v>1720</v>
      </c>
      <c r="H501">
        <v>120903.21428571429</v>
      </c>
      <c r="I501">
        <v>23</v>
      </c>
    </row>
    <row r="502" spans="1:9" x14ac:dyDescent="0.3">
      <c r="A502" s="8">
        <v>43983</v>
      </c>
      <c r="B502" t="s">
        <v>21</v>
      </c>
      <c r="C502">
        <v>188776.5</v>
      </c>
      <c r="D502">
        <v>19465372.5</v>
      </c>
      <c r="E502">
        <v>59</v>
      </c>
      <c r="F502">
        <v>12299</v>
      </c>
      <c r="G502">
        <v>11448</v>
      </c>
      <c r="H502">
        <v>329921.56779661018</v>
      </c>
      <c r="I502">
        <v>23</v>
      </c>
    </row>
    <row r="503" spans="1:9" x14ac:dyDescent="0.3">
      <c r="A503" s="8">
        <v>43983</v>
      </c>
      <c r="B503" t="s">
        <v>22</v>
      </c>
      <c r="C503">
        <v>183228</v>
      </c>
      <c r="D503">
        <v>18914194.5</v>
      </c>
      <c r="E503">
        <v>54</v>
      </c>
      <c r="F503">
        <v>11864</v>
      </c>
      <c r="G503">
        <v>11071</v>
      </c>
      <c r="H503">
        <v>350262.86111111112</v>
      </c>
      <c r="I503">
        <v>23</v>
      </c>
    </row>
    <row r="504" spans="1:9" x14ac:dyDescent="0.3">
      <c r="A504" s="8">
        <v>43983</v>
      </c>
      <c r="B504" t="s">
        <v>25</v>
      </c>
      <c r="C504">
        <v>5166</v>
      </c>
      <c r="D504">
        <v>389013</v>
      </c>
      <c r="E504">
        <v>9</v>
      </c>
      <c r="F504">
        <v>294</v>
      </c>
      <c r="G504">
        <v>224</v>
      </c>
      <c r="H504">
        <v>43223.666666666664</v>
      </c>
      <c r="I504">
        <v>23</v>
      </c>
    </row>
    <row r="505" spans="1:9" x14ac:dyDescent="0.3">
      <c r="A505" s="8">
        <v>43983</v>
      </c>
      <c r="B505" t="s">
        <v>26</v>
      </c>
      <c r="C505">
        <v>4408.5</v>
      </c>
      <c r="D505">
        <v>410892</v>
      </c>
      <c r="E505">
        <v>6</v>
      </c>
      <c r="F505">
        <v>237</v>
      </c>
      <c r="G505">
        <v>175</v>
      </c>
      <c r="H505">
        <v>68482</v>
      </c>
      <c r="I505">
        <v>23</v>
      </c>
    </row>
    <row r="506" spans="1:9" x14ac:dyDescent="0.3">
      <c r="A506" s="8">
        <v>43983</v>
      </c>
      <c r="B506" t="s">
        <v>24</v>
      </c>
      <c r="C506">
        <v>9474</v>
      </c>
      <c r="D506">
        <v>802447.5</v>
      </c>
      <c r="E506">
        <v>7</v>
      </c>
      <c r="F506">
        <v>500</v>
      </c>
      <c r="G506">
        <v>418</v>
      </c>
      <c r="H506">
        <v>114635.35714285714</v>
      </c>
      <c r="I506">
        <v>23</v>
      </c>
    </row>
    <row r="507" spans="1:9" x14ac:dyDescent="0.3">
      <c r="A507" s="8">
        <v>43983</v>
      </c>
      <c r="B507" t="s">
        <v>23</v>
      </c>
      <c r="C507">
        <v>14238</v>
      </c>
      <c r="D507">
        <v>1293219</v>
      </c>
      <c r="H507">
        <v>0</v>
      </c>
      <c r="I507">
        <v>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C9E6-C1A2-4C5B-BCA0-717BC6EB3B4A}">
  <dimension ref="A1:I507"/>
  <sheetViews>
    <sheetView zoomScale="58" workbookViewId="0">
      <selection activeCell="L27" sqref="L27"/>
    </sheetView>
  </sheetViews>
  <sheetFormatPr defaultRowHeight="14.4" x14ac:dyDescent="0.3"/>
  <cols>
    <col min="1" max="1" width="17.109375" customWidth="1"/>
    <col min="2" max="2" width="21" bestFit="1" customWidth="1"/>
    <col min="3" max="3" width="19.44140625" bestFit="1" customWidth="1"/>
    <col min="4" max="4" width="20.33203125" bestFit="1" customWidth="1"/>
    <col min="5" max="5" width="21.109375" bestFit="1" customWidth="1"/>
    <col min="6" max="6" width="20.88671875" bestFit="1" customWidth="1"/>
    <col min="7" max="7" width="22.109375" bestFit="1" customWidth="1"/>
    <col min="8" max="8" width="24.21875" bestFit="1" customWidth="1"/>
    <col min="9" max="9" width="9.5546875" bestFit="1" customWidth="1"/>
  </cols>
  <sheetData>
    <row r="1" spans="1:9" x14ac:dyDescent="0.3">
      <c r="A1" s="24" t="s">
        <v>542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s="8">
        <v>43950</v>
      </c>
      <c r="B4" t="s">
        <v>10</v>
      </c>
      <c r="C4">
        <v>29319</v>
      </c>
      <c r="D4">
        <v>2623480.5</v>
      </c>
      <c r="E4">
        <v>18</v>
      </c>
      <c r="F4">
        <v>1684</v>
      </c>
      <c r="G4">
        <v>1528</v>
      </c>
      <c r="H4">
        <v>145748.91666666666</v>
      </c>
      <c r="I4">
        <v>18</v>
      </c>
    </row>
    <row r="5" spans="1:9" x14ac:dyDescent="0.3">
      <c r="A5" s="8">
        <v>43953</v>
      </c>
      <c r="B5" t="s">
        <v>10</v>
      </c>
      <c r="C5">
        <v>29031</v>
      </c>
      <c r="D5">
        <v>2711247</v>
      </c>
      <c r="E5">
        <v>18</v>
      </c>
      <c r="F5">
        <v>1708</v>
      </c>
      <c r="G5">
        <v>1534</v>
      </c>
      <c r="H5">
        <v>150624.83333333334</v>
      </c>
      <c r="I5">
        <v>18</v>
      </c>
    </row>
    <row r="6" spans="1:9" x14ac:dyDescent="0.3">
      <c r="A6" s="8">
        <v>43952</v>
      </c>
      <c r="B6" t="s">
        <v>10</v>
      </c>
      <c r="C6">
        <v>32487</v>
      </c>
      <c r="D6">
        <v>3031254</v>
      </c>
      <c r="E6">
        <v>18</v>
      </c>
      <c r="F6">
        <v>1826</v>
      </c>
      <c r="G6">
        <v>1633</v>
      </c>
      <c r="H6">
        <v>168403</v>
      </c>
      <c r="I6">
        <v>18</v>
      </c>
    </row>
    <row r="7" spans="1:9" x14ac:dyDescent="0.3">
      <c r="A7" s="8">
        <v>43949</v>
      </c>
      <c r="B7" t="s">
        <v>10</v>
      </c>
      <c r="C7">
        <v>26940</v>
      </c>
      <c r="D7">
        <v>2411587.5</v>
      </c>
      <c r="E7" t="e">
        <v>#N/A</v>
      </c>
      <c r="F7" t="e">
        <v>#N/A</v>
      </c>
      <c r="G7" t="e">
        <v>#N/A</v>
      </c>
      <c r="H7" t="e">
        <v>#N/A</v>
      </c>
      <c r="I7">
        <v>18</v>
      </c>
    </row>
    <row r="8" spans="1:9" x14ac:dyDescent="0.3">
      <c r="A8" s="8">
        <v>43954</v>
      </c>
      <c r="B8" t="s">
        <v>10</v>
      </c>
      <c r="C8">
        <v>26082</v>
      </c>
      <c r="D8">
        <v>2434914</v>
      </c>
      <c r="E8">
        <v>20</v>
      </c>
      <c r="F8">
        <v>1520</v>
      </c>
      <c r="G8">
        <v>1373</v>
      </c>
      <c r="H8">
        <v>121745.7</v>
      </c>
      <c r="I8">
        <v>18</v>
      </c>
    </row>
    <row r="9" spans="1:9" x14ac:dyDescent="0.3">
      <c r="A9" s="8">
        <v>43951</v>
      </c>
      <c r="B9" t="s">
        <v>10</v>
      </c>
      <c r="C9">
        <v>30445.5</v>
      </c>
      <c r="D9">
        <v>2817196.5</v>
      </c>
      <c r="E9">
        <v>19</v>
      </c>
      <c r="F9">
        <v>1712</v>
      </c>
      <c r="G9">
        <v>1552</v>
      </c>
      <c r="H9">
        <v>148273.5</v>
      </c>
      <c r="I9">
        <v>18</v>
      </c>
    </row>
    <row r="10" spans="1:9" x14ac:dyDescent="0.3">
      <c r="A10" s="8">
        <v>43950</v>
      </c>
      <c r="B10" t="s">
        <v>11</v>
      </c>
      <c r="C10">
        <v>79527</v>
      </c>
      <c r="D10">
        <v>7180498.5</v>
      </c>
      <c r="E10" t="e">
        <v>#N/A</v>
      </c>
      <c r="F10" t="e">
        <v>#N/A</v>
      </c>
      <c r="G10" t="e">
        <v>#N/A</v>
      </c>
      <c r="H10" t="e">
        <v>#N/A</v>
      </c>
      <c r="I10">
        <v>18</v>
      </c>
    </row>
    <row r="11" spans="1:9" x14ac:dyDescent="0.3">
      <c r="A11" s="8">
        <v>43953</v>
      </c>
      <c r="B11" t="s">
        <v>11</v>
      </c>
      <c r="C11">
        <v>60463.5</v>
      </c>
      <c r="D11">
        <v>5554192.5</v>
      </c>
      <c r="E11">
        <v>31</v>
      </c>
      <c r="F11">
        <v>4157</v>
      </c>
      <c r="G11">
        <v>3823</v>
      </c>
      <c r="H11">
        <v>179167.5</v>
      </c>
      <c r="I11">
        <v>18</v>
      </c>
    </row>
    <row r="12" spans="1:9" x14ac:dyDescent="0.3">
      <c r="A12" s="8">
        <v>43952</v>
      </c>
      <c r="B12" t="s">
        <v>11</v>
      </c>
      <c r="C12">
        <v>97534.5</v>
      </c>
      <c r="D12">
        <v>8893024.5</v>
      </c>
      <c r="E12">
        <v>31</v>
      </c>
      <c r="F12">
        <v>6118</v>
      </c>
      <c r="G12">
        <v>5564</v>
      </c>
      <c r="H12">
        <v>286871.75806451612</v>
      </c>
      <c r="I12">
        <v>18</v>
      </c>
    </row>
    <row r="13" spans="1:9" x14ac:dyDescent="0.3">
      <c r="A13" s="8">
        <v>43949</v>
      </c>
      <c r="B13" t="s">
        <v>11</v>
      </c>
      <c r="C13">
        <v>81826.5</v>
      </c>
      <c r="D13">
        <v>7163644.5</v>
      </c>
      <c r="E13" t="e">
        <v>#N/A</v>
      </c>
      <c r="F13" t="e">
        <v>#N/A</v>
      </c>
      <c r="G13" t="e">
        <v>#N/A</v>
      </c>
      <c r="H13" t="e">
        <v>#N/A</v>
      </c>
      <c r="I13">
        <v>18</v>
      </c>
    </row>
    <row r="14" spans="1:9" x14ac:dyDescent="0.3">
      <c r="A14" s="8">
        <v>43954</v>
      </c>
      <c r="B14" t="s">
        <v>11</v>
      </c>
      <c r="C14">
        <v>77263.5</v>
      </c>
      <c r="D14">
        <v>7013670</v>
      </c>
      <c r="E14">
        <v>31</v>
      </c>
      <c r="F14">
        <v>5155</v>
      </c>
      <c r="G14">
        <v>4762</v>
      </c>
      <c r="H14">
        <v>226247.4193548387</v>
      </c>
      <c r="I14">
        <v>18</v>
      </c>
    </row>
    <row r="15" spans="1:9" x14ac:dyDescent="0.3">
      <c r="A15" s="8">
        <v>43951</v>
      </c>
      <c r="B15" t="s">
        <v>11</v>
      </c>
      <c r="C15">
        <v>77565</v>
      </c>
      <c r="D15">
        <v>7023727.5</v>
      </c>
      <c r="E15" t="e">
        <v>#N/A</v>
      </c>
      <c r="F15" t="e">
        <v>#N/A</v>
      </c>
      <c r="G15" t="e">
        <v>#N/A</v>
      </c>
      <c r="H15" t="e">
        <v>#N/A</v>
      </c>
      <c r="I15">
        <v>18</v>
      </c>
    </row>
    <row r="16" spans="1:9" x14ac:dyDescent="0.3">
      <c r="A16" s="8">
        <v>43950</v>
      </c>
      <c r="B16" t="s">
        <v>12</v>
      </c>
      <c r="C16">
        <v>10840.5</v>
      </c>
      <c r="D16">
        <v>797919</v>
      </c>
      <c r="E16" t="e">
        <v>#N/A</v>
      </c>
      <c r="F16" t="e">
        <v>#N/A</v>
      </c>
      <c r="G16" t="e">
        <v>#N/A</v>
      </c>
      <c r="H16" t="e">
        <v>#N/A</v>
      </c>
      <c r="I16">
        <v>18</v>
      </c>
    </row>
    <row r="17" spans="1:9" x14ac:dyDescent="0.3">
      <c r="A17" s="8">
        <v>43953</v>
      </c>
      <c r="B17" t="s">
        <v>12</v>
      </c>
      <c r="C17">
        <v>7866</v>
      </c>
      <c r="D17">
        <v>617881.5</v>
      </c>
      <c r="E17">
        <v>10</v>
      </c>
      <c r="F17">
        <v>416</v>
      </c>
      <c r="G17">
        <v>341</v>
      </c>
      <c r="H17">
        <v>61788.15</v>
      </c>
      <c r="I17">
        <v>18</v>
      </c>
    </row>
    <row r="18" spans="1:9" x14ac:dyDescent="0.3">
      <c r="A18" s="8">
        <v>43952</v>
      </c>
      <c r="B18" t="s">
        <v>12</v>
      </c>
      <c r="C18">
        <v>11619</v>
      </c>
      <c r="D18">
        <v>891139.5</v>
      </c>
      <c r="E18" t="e">
        <v>#N/A</v>
      </c>
      <c r="F18" t="e">
        <v>#N/A</v>
      </c>
      <c r="G18" t="e">
        <v>#N/A</v>
      </c>
      <c r="H18" t="e">
        <v>#N/A</v>
      </c>
      <c r="I18">
        <v>18</v>
      </c>
    </row>
    <row r="19" spans="1:9" x14ac:dyDescent="0.3">
      <c r="A19" s="8">
        <v>43949</v>
      </c>
      <c r="B19" t="s">
        <v>12</v>
      </c>
      <c r="C19">
        <v>12331.5</v>
      </c>
      <c r="D19">
        <v>869983.5</v>
      </c>
      <c r="E19" t="e">
        <v>#N/A</v>
      </c>
      <c r="F19" t="e">
        <v>#N/A</v>
      </c>
      <c r="G19" t="e">
        <v>#N/A</v>
      </c>
      <c r="H19" t="e">
        <v>#N/A</v>
      </c>
      <c r="I19">
        <v>18</v>
      </c>
    </row>
    <row r="20" spans="1:9" x14ac:dyDescent="0.3">
      <c r="A20" s="8">
        <v>43954</v>
      </c>
      <c r="B20" t="s">
        <v>12</v>
      </c>
      <c r="C20">
        <v>8185.5</v>
      </c>
      <c r="D20">
        <v>637881</v>
      </c>
      <c r="E20">
        <v>10</v>
      </c>
      <c r="F20">
        <v>402</v>
      </c>
      <c r="G20">
        <v>333</v>
      </c>
      <c r="H20">
        <v>63788.1</v>
      </c>
      <c r="I20">
        <v>18</v>
      </c>
    </row>
    <row r="21" spans="1:9" x14ac:dyDescent="0.3">
      <c r="A21" s="8">
        <v>43951</v>
      </c>
      <c r="B21" t="s">
        <v>12</v>
      </c>
      <c r="C21">
        <v>8934</v>
      </c>
      <c r="D21">
        <v>716196</v>
      </c>
      <c r="E21" t="e">
        <v>#N/A</v>
      </c>
      <c r="F21" t="e">
        <v>#N/A</v>
      </c>
      <c r="G21" t="e">
        <v>#N/A</v>
      </c>
      <c r="H21" t="e">
        <v>#N/A</v>
      </c>
      <c r="I21">
        <v>18</v>
      </c>
    </row>
    <row r="22" spans="1:9" x14ac:dyDescent="0.3">
      <c r="A22" s="8">
        <v>43950</v>
      </c>
      <c r="B22" t="s">
        <v>13</v>
      </c>
      <c r="C22">
        <v>25917</v>
      </c>
      <c r="D22">
        <v>2397588</v>
      </c>
      <c r="E22" t="e">
        <v>#N/A</v>
      </c>
      <c r="F22" t="e">
        <v>#N/A</v>
      </c>
      <c r="G22" t="e">
        <v>#N/A</v>
      </c>
      <c r="H22" t="e">
        <v>#N/A</v>
      </c>
      <c r="I22">
        <v>18</v>
      </c>
    </row>
    <row r="23" spans="1:9" x14ac:dyDescent="0.3">
      <c r="A23" s="8">
        <v>43953</v>
      </c>
      <c r="B23" t="s">
        <v>13</v>
      </c>
      <c r="C23">
        <v>19461</v>
      </c>
      <c r="D23">
        <v>1799230.5</v>
      </c>
      <c r="E23" t="e">
        <v>#N/A</v>
      </c>
      <c r="F23" t="e">
        <v>#N/A</v>
      </c>
      <c r="G23" t="e">
        <v>#N/A</v>
      </c>
      <c r="H23" t="e">
        <v>#N/A</v>
      </c>
      <c r="I23">
        <v>18</v>
      </c>
    </row>
    <row r="24" spans="1:9" x14ac:dyDescent="0.3">
      <c r="A24" s="8">
        <v>43952</v>
      </c>
      <c r="B24" t="s">
        <v>13</v>
      </c>
      <c r="C24">
        <v>25792.5</v>
      </c>
      <c r="D24">
        <v>2374356</v>
      </c>
      <c r="E24" t="e">
        <v>#N/A</v>
      </c>
      <c r="F24" t="e">
        <v>#N/A</v>
      </c>
      <c r="G24" t="e">
        <v>#N/A</v>
      </c>
      <c r="H24" t="e">
        <v>#N/A</v>
      </c>
      <c r="I24">
        <v>18</v>
      </c>
    </row>
    <row r="25" spans="1:9" x14ac:dyDescent="0.3">
      <c r="A25" s="8">
        <v>43949</v>
      </c>
      <c r="B25" t="s">
        <v>13</v>
      </c>
      <c r="C25">
        <v>23314.5</v>
      </c>
      <c r="D25">
        <v>2136817.5</v>
      </c>
      <c r="E25" t="e">
        <v>#N/A</v>
      </c>
      <c r="F25" t="e">
        <v>#N/A</v>
      </c>
      <c r="G25" t="e">
        <v>#N/A</v>
      </c>
      <c r="H25" t="e">
        <v>#N/A</v>
      </c>
      <c r="I25">
        <v>18</v>
      </c>
    </row>
    <row r="26" spans="1:9" x14ac:dyDescent="0.3">
      <c r="A26" s="8">
        <v>43954</v>
      </c>
      <c r="B26" t="s">
        <v>13</v>
      </c>
      <c r="C26">
        <v>23539.5</v>
      </c>
      <c r="D26">
        <v>2170309.5</v>
      </c>
      <c r="E26" t="e">
        <v>#N/A</v>
      </c>
      <c r="F26" t="e">
        <v>#N/A</v>
      </c>
      <c r="G26" t="e">
        <v>#N/A</v>
      </c>
      <c r="H26" t="e">
        <v>#N/A</v>
      </c>
      <c r="I26">
        <v>18</v>
      </c>
    </row>
    <row r="27" spans="1:9" x14ac:dyDescent="0.3">
      <c r="A27" s="8">
        <v>43951</v>
      </c>
      <c r="B27" t="s">
        <v>13</v>
      </c>
      <c r="C27">
        <v>24211.5</v>
      </c>
      <c r="D27">
        <v>2267664</v>
      </c>
      <c r="E27" t="e">
        <v>#N/A</v>
      </c>
      <c r="F27" t="e">
        <v>#N/A</v>
      </c>
      <c r="G27" t="e">
        <v>#N/A</v>
      </c>
      <c r="H27" t="e">
        <v>#N/A</v>
      </c>
      <c r="I27">
        <v>18</v>
      </c>
    </row>
    <row r="28" spans="1:9" x14ac:dyDescent="0.3">
      <c r="A28" s="8">
        <v>43950</v>
      </c>
      <c r="B28" t="s">
        <v>14</v>
      </c>
      <c r="C28">
        <v>298059</v>
      </c>
      <c r="D28">
        <v>30869287.5</v>
      </c>
      <c r="E28" t="e">
        <v>#N/A</v>
      </c>
      <c r="F28" t="e">
        <v>#N/A</v>
      </c>
      <c r="G28" t="e">
        <v>#N/A</v>
      </c>
      <c r="H28" t="e">
        <v>#N/A</v>
      </c>
      <c r="I28">
        <v>18</v>
      </c>
    </row>
    <row r="29" spans="1:9" x14ac:dyDescent="0.3">
      <c r="A29" s="8">
        <v>43953</v>
      </c>
      <c r="B29" t="s">
        <v>14</v>
      </c>
      <c r="C29">
        <v>232903.5</v>
      </c>
      <c r="D29">
        <v>24342016.5</v>
      </c>
      <c r="E29" t="e">
        <v>#N/A</v>
      </c>
      <c r="F29" t="e">
        <v>#N/A</v>
      </c>
      <c r="G29" t="e">
        <v>#N/A</v>
      </c>
      <c r="H29" t="e">
        <v>#N/A</v>
      </c>
      <c r="I29">
        <v>18</v>
      </c>
    </row>
    <row r="30" spans="1:9" x14ac:dyDescent="0.3">
      <c r="A30" s="8">
        <v>43952</v>
      </c>
      <c r="B30" t="s">
        <v>14</v>
      </c>
      <c r="C30">
        <v>296149.5</v>
      </c>
      <c r="D30">
        <v>31053316.5</v>
      </c>
      <c r="E30" t="e">
        <v>#N/A</v>
      </c>
      <c r="F30" t="e">
        <v>#N/A</v>
      </c>
      <c r="G30" t="e">
        <v>#N/A</v>
      </c>
      <c r="H30" t="e">
        <v>#N/A</v>
      </c>
      <c r="I30">
        <v>18</v>
      </c>
    </row>
    <row r="31" spans="1:9" x14ac:dyDescent="0.3">
      <c r="A31" s="8">
        <v>43949</v>
      </c>
      <c r="B31" t="s">
        <v>14</v>
      </c>
      <c r="C31">
        <v>286002</v>
      </c>
      <c r="D31">
        <v>29159032.5</v>
      </c>
      <c r="E31" t="e">
        <v>#N/A</v>
      </c>
      <c r="F31" t="e">
        <v>#N/A</v>
      </c>
      <c r="G31" t="e">
        <v>#N/A</v>
      </c>
      <c r="H31" t="e">
        <v>#N/A</v>
      </c>
      <c r="I31">
        <v>18</v>
      </c>
    </row>
    <row r="32" spans="1:9" x14ac:dyDescent="0.3">
      <c r="A32" s="8">
        <v>43954</v>
      </c>
      <c r="B32" t="s">
        <v>14</v>
      </c>
      <c r="C32">
        <v>274083</v>
      </c>
      <c r="D32">
        <v>28427001</v>
      </c>
      <c r="E32" t="e">
        <v>#N/A</v>
      </c>
      <c r="F32" t="e">
        <v>#N/A</v>
      </c>
      <c r="G32" t="e">
        <v>#N/A</v>
      </c>
      <c r="H32" t="e">
        <v>#N/A</v>
      </c>
      <c r="I32">
        <v>18</v>
      </c>
    </row>
    <row r="33" spans="1:9" x14ac:dyDescent="0.3">
      <c r="A33" s="8">
        <v>43951</v>
      </c>
      <c r="B33" t="s">
        <v>14</v>
      </c>
      <c r="C33">
        <v>311131.5</v>
      </c>
      <c r="D33">
        <v>32418879</v>
      </c>
      <c r="E33" t="e">
        <v>#N/A</v>
      </c>
      <c r="F33" t="e">
        <v>#N/A</v>
      </c>
      <c r="G33" t="e">
        <v>#N/A</v>
      </c>
      <c r="H33" t="e">
        <v>#N/A</v>
      </c>
      <c r="I33">
        <v>18</v>
      </c>
    </row>
    <row r="34" spans="1:9" x14ac:dyDescent="0.3">
      <c r="A34" s="8">
        <v>43950</v>
      </c>
      <c r="B34" t="s">
        <v>15</v>
      </c>
      <c r="C34">
        <v>387220.5</v>
      </c>
      <c r="D34">
        <v>41559384</v>
      </c>
      <c r="E34" t="e">
        <v>#N/A</v>
      </c>
      <c r="F34" t="e">
        <v>#N/A</v>
      </c>
      <c r="G34" t="e">
        <v>#N/A</v>
      </c>
      <c r="H34" t="e">
        <v>#N/A</v>
      </c>
      <c r="I34">
        <v>18</v>
      </c>
    </row>
    <row r="35" spans="1:9" x14ac:dyDescent="0.3">
      <c r="A35" s="8">
        <v>43953</v>
      </c>
      <c r="B35" t="s">
        <v>15</v>
      </c>
      <c r="C35">
        <v>296580</v>
      </c>
      <c r="D35">
        <v>31843737</v>
      </c>
      <c r="E35" t="e">
        <v>#N/A</v>
      </c>
      <c r="F35" t="e">
        <v>#N/A</v>
      </c>
      <c r="G35" t="e">
        <v>#N/A</v>
      </c>
      <c r="H35" t="e">
        <v>#N/A</v>
      </c>
      <c r="I35">
        <v>18</v>
      </c>
    </row>
    <row r="36" spans="1:9" x14ac:dyDescent="0.3">
      <c r="A36" s="8">
        <v>43952</v>
      </c>
      <c r="B36" t="s">
        <v>15</v>
      </c>
      <c r="C36">
        <v>372504</v>
      </c>
      <c r="D36">
        <v>40077193.5</v>
      </c>
      <c r="E36" t="e">
        <v>#N/A</v>
      </c>
      <c r="F36" t="e">
        <v>#N/A</v>
      </c>
      <c r="G36" t="e">
        <v>#N/A</v>
      </c>
      <c r="H36" t="e">
        <v>#N/A</v>
      </c>
      <c r="I36">
        <v>18</v>
      </c>
    </row>
    <row r="37" spans="1:9" x14ac:dyDescent="0.3">
      <c r="A37" s="8">
        <v>43949</v>
      </c>
      <c r="B37" t="s">
        <v>15</v>
      </c>
      <c r="C37">
        <v>376060.5</v>
      </c>
      <c r="D37">
        <v>39918028.5</v>
      </c>
      <c r="E37" t="e">
        <v>#N/A</v>
      </c>
      <c r="F37" t="e">
        <v>#N/A</v>
      </c>
      <c r="G37" t="e">
        <v>#N/A</v>
      </c>
      <c r="H37" t="e">
        <v>#N/A</v>
      </c>
      <c r="I37">
        <v>18</v>
      </c>
    </row>
    <row r="38" spans="1:9" x14ac:dyDescent="0.3">
      <c r="A38" s="8">
        <v>43954</v>
      </c>
      <c r="B38" t="s">
        <v>15</v>
      </c>
      <c r="C38">
        <v>342666</v>
      </c>
      <c r="D38">
        <v>36631999.5</v>
      </c>
      <c r="E38" t="e">
        <v>#N/A</v>
      </c>
      <c r="F38" t="e">
        <v>#N/A</v>
      </c>
      <c r="G38" t="e">
        <v>#N/A</v>
      </c>
      <c r="H38" t="e">
        <v>#N/A</v>
      </c>
      <c r="I38">
        <v>18</v>
      </c>
    </row>
    <row r="39" spans="1:9" x14ac:dyDescent="0.3">
      <c r="A39" s="8">
        <v>43951</v>
      </c>
      <c r="B39" t="s">
        <v>15</v>
      </c>
      <c r="C39">
        <v>401580</v>
      </c>
      <c r="D39">
        <v>43028734.5</v>
      </c>
      <c r="E39" t="e">
        <v>#N/A</v>
      </c>
      <c r="F39" t="e">
        <v>#N/A</v>
      </c>
      <c r="G39" t="e">
        <v>#N/A</v>
      </c>
      <c r="H39" t="e">
        <v>#N/A</v>
      </c>
      <c r="I39">
        <v>18</v>
      </c>
    </row>
    <row r="40" spans="1:9" x14ac:dyDescent="0.3">
      <c r="A40" s="8">
        <v>43950</v>
      </c>
      <c r="B40" t="s">
        <v>16</v>
      </c>
      <c r="C40">
        <v>74707.5</v>
      </c>
      <c r="D40">
        <v>6454458</v>
      </c>
      <c r="E40" t="e">
        <v>#N/A</v>
      </c>
      <c r="F40" t="e">
        <v>#N/A</v>
      </c>
      <c r="G40" t="e">
        <v>#N/A</v>
      </c>
      <c r="H40" t="e">
        <v>#N/A</v>
      </c>
      <c r="I40">
        <v>18</v>
      </c>
    </row>
    <row r="41" spans="1:9" x14ac:dyDescent="0.3">
      <c r="A41" s="8">
        <v>43953</v>
      </c>
      <c r="B41" t="s">
        <v>16</v>
      </c>
      <c r="C41">
        <v>46216.5</v>
      </c>
      <c r="D41">
        <v>4118251.5</v>
      </c>
      <c r="E41" t="e">
        <v>#N/A</v>
      </c>
      <c r="F41" t="e">
        <v>#N/A</v>
      </c>
      <c r="G41" t="e">
        <v>#N/A</v>
      </c>
      <c r="H41" t="e">
        <v>#N/A</v>
      </c>
      <c r="I41">
        <v>18</v>
      </c>
    </row>
    <row r="42" spans="1:9" x14ac:dyDescent="0.3">
      <c r="A42" s="8">
        <v>43952</v>
      </c>
      <c r="B42" t="s">
        <v>16</v>
      </c>
      <c r="C42">
        <v>82228.5</v>
      </c>
      <c r="D42">
        <v>7032225</v>
      </c>
      <c r="E42" t="e">
        <v>#N/A</v>
      </c>
      <c r="F42" t="e">
        <v>#N/A</v>
      </c>
      <c r="G42" t="e">
        <v>#N/A</v>
      </c>
      <c r="H42" t="e">
        <v>#N/A</v>
      </c>
      <c r="I42">
        <v>18</v>
      </c>
    </row>
    <row r="43" spans="1:9" x14ac:dyDescent="0.3">
      <c r="A43" s="8">
        <v>43949</v>
      </c>
      <c r="B43" t="s">
        <v>16</v>
      </c>
      <c r="C43">
        <v>73147.5</v>
      </c>
      <c r="D43">
        <v>6288246</v>
      </c>
      <c r="E43" t="e">
        <v>#N/A</v>
      </c>
      <c r="F43" t="e">
        <v>#N/A</v>
      </c>
      <c r="G43" t="e">
        <v>#N/A</v>
      </c>
      <c r="H43" t="e">
        <v>#N/A</v>
      </c>
      <c r="I43">
        <v>18</v>
      </c>
    </row>
    <row r="44" spans="1:9" x14ac:dyDescent="0.3">
      <c r="A44" s="8">
        <v>43954</v>
      </c>
      <c r="B44" t="s">
        <v>16</v>
      </c>
      <c r="C44">
        <v>70581</v>
      </c>
      <c r="D44">
        <v>6221320.5</v>
      </c>
      <c r="E44" t="e">
        <v>#N/A</v>
      </c>
      <c r="F44" t="e">
        <v>#N/A</v>
      </c>
      <c r="G44" t="e">
        <v>#N/A</v>
      </c>
      <c r="H44" t="e">
        <v>#N/A</v>
      </c>
      <c r="I44">
        <v>18</v>
      </c>
    </row>
    <row r="45" spans="1:9" x14ac:dyDescent="0.3">
      <c r="A45" s="8">
        <v>43951</v>
      </c>
      <c r="B45" t="s">
        <v>16</v>
      </c>
      <c r="C45">
        <v>78235.5</v>
      </c>
      <c r="D45">
        <v>6819594</v>
      </c>
      <c r="E45" t="e">
        <v>#N/A</v>
      </c>
      <c r="F45" t="e">
        <v>#N/A</v>
      </c>
      <c r="G45" t="e">
        <v>#N/A</v>
      </c>
      <c r="H45" t="e">
        <v>#N/A</v>
      </c>
      <c r="I45">
        <v>18</v>
      </c>
    </row>
    <row r="46" spans="1:9" x14ac:dyDescent="0.3">
      <c r="A46" s="8">
        <v>43950</v>
      </c>
      <c r="B46" t="s">
        <v>17</v>
      </c>
      <c r="C46">
        <v>29142</v>
      </c>
      <c r="D46">
        <v>2627595</v>
      </c>
      <c r="E46" t="e">
        <v>#N/A</v>
      </c>
      <c r="F46" t="e">
        <v>#N/A</v>
      </c>
      <c r="G46" t="e">
        <v>#N/A</v>
      </c>
      <c r="H46" t="e">
        <v>#N/A</v>
      </c>
      <c r="I46">
        <v>18</v>
      </c>
    </row>
    <row r="47" spans="1:9" x14ac:dyDescent="0.3">
      <c r="A47" s="8">
        <v>43953</v>
      </c>
      <c r="B47" t="s">
        <v>17</v>
      </c>
      <c r="C47">
        <v>26428.5</v>
      </c>
      <c r="D47">
        <v>2470465.5</v>
      </c>
      <c r="E47" t="e">
        <v>#N/A</v>
      </c>
      <c r="F47" t="e">
        <v>#N/A</v>
      </c>
      <c r="G47" t="e">
        <v>#N/A</v>
      </c>
      <c r="H47" t="e">
        <v>#N/A</v>
      </c>
      <c r="I47">
        <v>18</v>
      </c>
    </row>
    <row r="48" spans="1:9" x14ac:dyDescent="0.3">
      <c r="A48" s="8">
        <v>43952</v>
      </c>
      <c r="B48" t="s">
        <v>17</v>
      </c>
      <c r="C48">
        <v>46620</v>
      </c>
      <c r="D48">
        <v>4293241.5</v>
      </c>
      <c r="E48" t="e">
        <v>#N/A</v>
      </c>
      <c r="F48" t="e">
        <v>#N/A</v>
      </c>
      <c r="G48" t="e">
        <v>#N/A</v>
      </c>
      <c r="H48" t="e">
        <v>#N/A</v>
      </c>
      <c r="I48">
        <v>18</v>
      </c>
    </row>
    <row r="49" spans="1:9" x14ac:dyDescent="0.3">
      <c r="A49" s="8">
        <v>43949</v>
      </c>
      <c r="B49" t="s">
        <v>17</v>
      </c>
      <c r="C49">
        <v>32181</v>
      </c>
      <c r="D49">
        <v>2863600.5</v>
      </c>
      <c r="E49" t="e">
        <v>#N/A</v>
      </c>
      <c r="F49" t="e">
        <v>#N/A</v>
      </c>
      <c r="G49" t="e">
        <v>#N/A</v>
      </c>
      <c r="H49" t="e">
        <v>#N/A</v>
      </c>
      <c r="I49">
        <v>18</v>
      </c>
    </row>
    <row r="50" spans="1:9" x14ac:dyDescent="0.3">
      <c r="A50" s="8">
        <v>43954</v>
      </c>
      <c r="B50" t="s">
        <v>17</v>
      </c>
      <c r="C50">
        <v>29935.5</v>
      </c>
      <c r="D50">
        <v>2720002.5</v>
      </c>
      <c r="E50" t="e">
        <v>#N/A</v>
      </c>
      <c r="F50" t="e">
        <v>#N/A</v>
      </c>
      <c r="G50" t="e">
        <v>#N/A</v>
      </c>
      <c r="H50" t="e">
        <v>#N/A</v>
      </c>
      <c r="I50">
        <v>18</v>
      </c>
    </row>
    <row r="51" spans="1:9" x14ac:dyDescent="0.3">
      <c r="A51" s="8">
        <v>43951</v>
      </c>
      <c r="B51" t="s">
        <v>17</v>
      </c>
      <c r="C51">
        <v>31231.5</v>
      </c>
      <c r="D51">
        <v>2853310.5</v>
      </c>
      <c r="E51" t="e">
        <v>#N/A</v>
      </c>
      <c r="F51" t="e">
        <v>#N/A</v>
      </c>
      <c r="G51" t="e">
        <v>#N/A</v>
      </c>
      <c r="H51" t="e">
        <v>#N/A</v>
      </c>
      <c r="I51">
        <v>18</v>
      </c>
    </row>
    <row r="52" spans="1:9" x14ac:dyDescent="0.3">
      <c r="A52" s="8">
        <v>43950</v>
      </c>
      <c r="B52" t="s">
        <v>18</v>
      </c>
      <c r="C52">
        <v>13014</v>
      </c>
      <c r="D52">
        <v>1115992.5</v>
      </c>
      <c r="E52" t="e">
        <v>#N/A</v>
      </c>
      <c r="F52" t="e">
        <v>#N/A</v>
      </c>
      <c r="G52" t="e">
        <v>#N/A</v>
      </c>
      <c r="H52" t="e">
        <v>#N/A</v>
      </c>
      <c r="I52">
        <v>18</v>
      </c>
    </row>
    <row r="53" spans="1:9" x14ac:dyDescent="0.3">
      <c r="A53" s="8">
        <v>43953</v>
      </c>
      <c r="B53" t="s">
        <v>18</v>
      </c>
      <c r="C53">
        <v>12313.5</v>
      </c>
      <c r="D53">
        <v>1053220.5</v>
      </c>
      <c r="E53" t="e">
        <v>#N/A</v>
      </c>
      <c r="F53" t="e">
        <v>#N/A</v>
      </c>
      <c r="G53" t="e">
        <v>#N/A</v>
      </c>
      <c r="H53" t="e">
        <v>#N/A</v>
      </c>
      <c r="I53">
        <v>18</v>
      </c>
    </row>
    <row r="54" spans="1:9" x14ac:dyDescent="0.3">
      <c r="A54" s="8">
        <v>43952</v>
      </c>
      <c r="B54" t="s">
        <v>18</v>
      </c>
      <c r="C54">
        <v>17113.5</v>
      </c>
      <c r="D54">
        <v>1465842</v>
      </c>
      <c r="E54" t="e">
        <v>#N/A</v>
      </c>
      <c r="F54" t="e">
        <v>#N/A</v>
      </c>
      <c r="G54" t="e">
        <v>#N/A</v>
      </c>
      <c r="H54" t="e">
        <v>#N/A</v>
      </c>
      <c r="I54">
        <v>18</v>
      </c>
    </row>
    <row r="55" spans="1:9" x14ac:dyDescent="0.3">
      <c r="A55" s="8">
        <v>43949</v>
      </c>
      <c r="B55" t="s">
        <v>18</v>
      </c>
      <c r="C55">
        <v>13303.5</v>
      </c>
      <c r="D55">
        <v>1102887</v>
      </c>
      <c r="E55" t="e">
        <v>#N/A</v>
      </c>
      <c r="F55" t="e">
        <v>#N/A</v>
      </c>
      <c r="G55" t="e">
        <v>#N/A</v>
      </c>
      <c r="H55" t="e">
        <v>#N/A</v>
      </c>
      <c r="I55">
        <v>18</v>
      </c>
    </row>
    <row r="56" spans="1:9" x14ac:dyDescent="0.3">
      <c r="A56" s="8">
        <v>43954</v>
      </c>
      <c r="B56" t="s">
        <v>18</v>
      </c>
      <c r="C56">
        <v>12924</v>
      </c>
      <c r="D56">
        <v>1120009.5</v>
      </c>
      <c r="E56" t="e">
        <v>#N/A</v>
      </c>
      <c r="F56" t="e">
        <v>#N/A</v>
      </c>
      <c r="G56" t="e">
        <v>#N/A</v>
      </c>
      <c r="H56" t="e">
        <v>#N/A</v>
      </c>
      <c r="I56">
        <v>18</v>
      </c>
    </row>
    <row r="57" spans="1:9" x14ac:dyDescent="0.3">
      <c r="A57" s="8">
        <v>43951</v>
      </c>
      <c r="B57" t="s">
        <v>18</v>
      </c>
      <c r="C57">
        <v>12753</v>
      </c>
      <c r="D57">
        <v>1103068.5</v>
      </c>
      <c r="E57" t="e">
        <v>#N/A</v>
      </c>
      <c r="F57" t="e">
        <v>#N/A</v>
      </c>
      <c r="G57" t="e">
        <v>#N/A</v>
      </c>
      <c r="H57" t="e">
        <v>#N/A</v>
      </c>
      <c r="I57">
        <v>18</v>
      </c>
    </row>
    <row r="58" spans="1:9" x14ac:dyDescent="0.3">
      <c r="A58" s="8">
        <v>43950</v>
      </c>
      <c r="B58" t="s">
        <v>20</v>
      </c>
      <c r="C58">
        <v>25816.5</v>
      </c>
      <c r="D58">
        <v>2360914.5</v>
      </c>
      <c r="E58" t="e">
        <v>#N/A</v>
      </c>
      <c r="F58" t="e">
        <v>#N/A</v>
      </c>
      <c r="G58" t="e">
        <v>#N/A</v>
      </c>
      <c r="H58" t="e">
        <v>#N/A</v>
      </c>
      <c r="I58">
        <v>18</v>
      </c>
    </row>
    <row r="59" spans="1:9" x14ac:dyDescent="0.3">
      <c r="A59" s="8">
        <v>43953</v>
      </c>
      <c r="B59" t="s">
        <v>19</v>
      </c>
      <c r="C59">
        <v>4624.5</v>
      </c>
      <c r="D59">
        <v>433243.5</v>
      </c>
      <c r="E59" t="e">
        <v>#N/A</v>
      </c>
      <c r="F59" t="e">
        <v>#N/A</v>
      </c>
      <c r="G59" t="e">
        <v>#N/A</v>
      </c>
      <c r="H59" t="e">
        <v>#N/A</v>
      </c>
      <c r="I59">
        <v>18</v>
      </c>
    </row>
    <row r="60" spans="1:9" x14ac:dyDescent="0.3">
      <c r="A60" s="8">
        <v>43952</v>
      </c>
      <c r="B60" t="s">
        <v>19</v>
      </c>
      <c r="C60">
        <v>5446.5</v>
      </c>
      <c r="D60">
        <v>505572</v>
      </c>
      <c r="E60" t="e">
        <v>#N/A</v>
      </c>
      <c r="F60" t="e">
        <v>#N/A</v>
      </c>
      <c r="G60" t="e">
        <v>#N/A</v>
      </c>
      <c r="H60" t="e">
        <v>#N/A</v>
      </c>
      <c r="I60">
        <v>18</v>
      </c>
    </row>
    <row r="61" spans="1:9" x14ac:dyDescent="0.3">
      <c r="A61" s="8">
        <v>43949</v>
      </c>
      <c r="B61" t="s">
        <v>20</v>
      </c>
      <c r="C61">
        <v>25149</v>
      </c>
      <c r="D61">
        <v>2277072</v>
      </c>
      <c r="E61" t="e">
        <v>#N/A</v>
      </c>
      <c r="F61" t="e">
        <v>#N/A</v>
      </c>
      <c r="G61" t="e">
        <v>#N/A</v>
      </c>
      <c r="H61" t="e">
        <v>#N/A</v>
      </c>
      <c r="I61">
        <v>18</v>
      </c>
    </row>
    <row r="62" spans="1:9" x14ac:dyDescent="0.3">
      <c r="A62" s="8">
        <v>43954</v>
      </c>
      <c r="B62" t="s">
        <v>19</v>
      </c>
      <c r="C62">
        <v>8127</v>
      </c>
      <c r="D62">
        <v>665302.5</v>
      </c>
      <c r="E62" t="e">
        <v>#N/A</v>
      </c>
      <c r="F62" t="e">
        <v>#N/A</v>
      </c>
      <c r="G62" t="e">
        <v>#N/A</v>
      </c>
      <c r="H62" t="e">
        <v>#N/A</v>
      </c>
      <c r="I62">
        <v>18</v>
      </c>
    </row>
    <row r="63" spans="1:9" x14ac:dyDescent="0.3">
      <c r="A63" s="8">
        <v>43951</v>
      </c>
      <c r="B63" t="s">
        <v>19</v>
      </c>
      <c r="C63">
        <v>4285.5</v>
      </c>
      <c r="D63">
        <v>404691</v>
      </c>
      <c r="E63" t="e">
        <v>#N/A</v>
      </c>
      <c r="F63" t="e">
        <v>#N/A</v>
      </c>
      <c r="G63" t="e">
        <v>#N/A</v>
      </c>
      <c r="H63" t="e">
        <v>#N/A</v>
      </c>
      <c r="I63">
        <v>18</v>
      </c>
    </row>
    <row r="64" spans="1:9" x14ac:dyDescent="0.3">
      <c r="A64" s="8">
        <v>43953</v>
      </c>
      <c r="B64" t="s">
        <v>20</v>
      </c>
      <c r="C64">
        <v>18427.5</v>
      </c>
      <c r="D64">
        <v>1682851.5</v>
      </c>
      <c r="E64" t="e">
        <v>#N/A</v>
      </c>
      <c r="F64" t="e">
        <v>#N/A</v>
      </c>
      <c r="G64" t="e">
        <v>#N/A</v>
      </c>
      <c r="H64" t="e">
        <v>#N/A</v>
      </c>
      <c r="I64">
        <v>18</v>
      </c>
    </row>
    <row r="65" spans="1:9" x14ac:dyDescent="0.3">
      <c r="A65" s="8">
        <v>43952</v>
      </c>
      <c r="B65" t="s">
        <v>20</v>
      </c>
      <c r="C65">
        <v>35190</v>
      </c>
      <c r="D65">
        <v>3168510</v>
      </c>
      <c r="E65" t="e">
        <v>#N/A</v>
      </c>
      <c r="F65" t="e">
        <v>#N/A</v>
      </c>
      <c r="G65" t="e">
        <v>#N/A</v>
      </c>
      <c r="H65" t="e">
        <v>#N/A</v>
      </c>
      <c r="I65">
        <v>18</v>
      </c>
    </row>
    <row r="66" spans="1:9" x14ac:dyDescent="0.3">
      <c r="A66" s="8">
        <v>43954</v>
      </c>
      <c r="B66" t="s">
        <v>20</v>
      </c>
      <c r="C66">
        <v>21343.5</v>
      </c>
      <c r="D66">
        <v>1906557</v>
      </c>
      <c r="E66" t="e">
        <v>#N/A</v>
      </c>
      <c r="F66" t="e">
        <v>#N/A</v>
      </c>
      <c r="G66" t="e">
        <v>#N/A</v>
      </c>
      <c r="H66" t="e">
        <v>#N/A</v>
      </c>
      <c r="I66">
        <v>18</v>
      </c>
    </row>
    <row r="67" spans="1:9" x14ac:dyDescent="0.3">
      <c r="A67" s="8">
        <v>43951</v>
      </c>
      <c r="B67" t="s">
        <v>20</v>
      </c>
      <c r="C67">
        <v>27883.5</v>
      </c>
      <c r="D67">
        <v>2560080</v>
      </c>
      <c r="E67" t="e">
        <v>#N/A</v>
      </c>
      <c r="F67" t="e">
        <v>#N/A</v>
      </c>
      <c r="G67" t="e">
        <v>#N/A</v>
      </c>
      <c r="H67" t="e">
        <v>#N/A</v>
      </c>
      <c r="I67">
        <v>18</v>
      </c>
    </row>
    <row r="68" spans="1:9" x14ac:dyDescent="0.3">
      <c r="A68" s="8">
        <v>43950</v>
      </c>
      <c r="B68" t="s">
        <v>21</v>
      </c>
      <c r="C68">
        <v>208351.5</v>
      </c>
      <c r="D68">
        <v>21615333</v>
      </c>
      <c r="E68" t="e">
        <v>#N/A</v>
      </c>
      <c r="F68" t="e">
        <v>#N/A</v>
      </c>
      <c r="G68" t="e">
        <v>#N/A</v>
      </c>
      <c r="H68" t="e">
        <v>#N/A</v>
      </c>
      <c r="I68">
        <v>18</v>
      </c>
    </row>
    <row r="69" spans="1:9" x14ac:dyDescent="0.3">
      <c r="A69" s="8">
        <v>43949</v>
      </c>
      <c r="B69" t="s">
        <v>21</v>
      </c>
      <c r="C69">
        <v>204637.5</v>
      </c>
      <c r="D69">
        <v>21114898.5</v>
      </c>
      <c r="E69" t="e">
        <v>#N/A</v>
      </c>
      <c r="F69" t="e">
        <v>#N/A</v>
      </c>
      <c r="G69" t="e">
        <v>#N/A</v>
      </c>
      <c r="H69" t="e">
        <v>#N/A</v>
      </c>
      <c r="I69">
        <v>18</v>
      </c>
    </row>
    <row r="70" spans="1:9" x14ac:dyDescent="0.3">
      <c r="A70" s="8">
        <v>43950</v>
      </c>
      <c r="B70" t="s">
        <v>22</v>
      </c>
      <c r="C70">
        <v>203209.5</v>
      </c>
      <c r="D70">
        <v>20871391.5</v>
      </c>
      <c r="E70" t="e">
        <v>#N/A</v>
      </c>
      <c r="F70" t="e">
        <v>#N/A</v>
      </c>
      <c r="G70" t="e">
        <v>#N/A</v>
      </c>
      <c r="H70" t="e">
        <v>#N/A</v>
      </c>
      <c r="I70">
        <v>18</v>
      </c>
    </row>
    <row r="71" spans="1:9" x14ac:dyDescent="0.3">
      <c r="A71" s="8">
        <v>43953</v>
      </c>
      <c r="B71" t="s">
        <v>21</v>
      </c>
      <c r="C71">
        <v>185979</v>
      </c>
      <c r="D71">
        <v>19625364</v>
      </c>
      <c r="E71" t="e">
        <v>#N/A</v>
      </c>
      <c r="F71" t="e">
        <v>#N/A</v>
      </c>
      <c r="G71" t="e">
        <v>#N/A</v>
      </c>
      <c r="H71" t="e">
        <v>#N/A</v>
      </c>
      <c r="I71">
        <v>18</v>
      </c>
    </row>
    <row r="72" spans="1:9" x14ac:dyDescent="0.3">
      <c r="A72" s="8">
        <v>43952</v>
      </c>
      <c r="B72" t="s">
        <v>21</v>
      </c>
      <c r="C72">
        <v>239409</v>
      </c>
      <c r="D72">
        <v>25413351</v>
      </c>
      <c r="E72" t="e">
        <v>#N/A</v>
      </c>
      <c r="F72" t="e">
        <v>#N/A</v>
      </c>
      <c r="G72" t="e">
        <v>#N/A</v>
      </c>
      <c r="H72" t="e">
        <v>#N/A</v>
      </c>
      <c r="I72">
        <v>18</v>
      </c>
    </row>
    <row r="73" spans="1:9" x14ac:dyDescent="0.3">
      <c r="A73" s="8">
        <v>43949</v>
      </c>
      <c r="B73" t="s">
        <v>22</v>
      </c>
      <c r="C73">
        <v>195705</v>
      </c>
      <c r="D73">
        <v>20003263.5</v>
      </c>
      <c r="E73" t="e">
        <v>#N/A</v>
      </c>
      <c r="F73" t="e">
        <v>#N/A</v>
      </c>
      <c r="G73" t="e">
        <v>#N/A</v>
      </c>
      <c r="H73" t="e">
        <v>#N/A</v>
      </c>
      <c r="I73">
        <v>18</v>
      </c>
    </row>
    <row r="74" spans="1:9" x14ac:dyDescent="0.3">
      <c r="A74" s="8">
        <v>43954</v>
      </c>
      <c r="B74" t="s">
        <v>21</v>
      </c>
      <c r="C74">
        <v>257215.5</v>
      </c>
      <c r="D74">
        <v>26492278.5</v>
      </c>
      <c r="E74" t="e">
        <v>#N/A</v>
      </c>
      <c r="F74" t="e">
        <v>#N/A</v>
      </c>
      <c r="G74" t="e">
        <v>#N/A</v>
      </c>
      <c r="H74" t="e">
        <v>#N/A</v>
      </c>
      <c r="I74">
        <v>18</v>
      </c>
    </row>
    <row r="75" spans="1:9" x14ac:dyDescent="0.3">
      <c r="A75" s="8">
        <v>43951</v>
      </c>
      <c r="B75" t="s">
        <v>21</v>
      </c>
      <c r="C75">
        <v>214386</v>
      </c>
      <c r="D75">
        <v>22530000</v>
      </c>
      <c r="E75" t="e">
        <v>#N/A</v>
      </c>
      <c r="F75" t="e">
        <v>#N/A</v>
      </c>
      <c r="G75" t="e">
        <v>#N/A</v>
      </c>
      <c r="H75" t="e">
        <v>#N/A</v>
      </c>
      <c r="I75">
        <v>18</v>
      </c>
    </row>
    <row r="76" spans="1:9" x14ac:dyDescent="0.3">
      <c r="A76" s="8">
        <v>43953</v>
      </c>
      <c r="B76" t="s">
        <v>22</v>
      </c>
      <c r="C76">
        <v>176397</v>
      </c>
      <c r="D76">
        <v>18625921.5</v>
      </c>
      <c r="E76" t="e">
        <v>#N/A</v>
      </c>
      <c r="F76" t="e">
        <v>#N/A</v>
      </c>
      <c r="G76" t="e">
        <v>#N/A</v>
      </c>
      <c r="H76" t="e">
        <v>#N/A</v>
      </c>
      <c r="I76">
        <v>18</v>
      </c>
    </row>
    <row r="77" spans="1:9" x14ac:dyDescent="0.3">
      <c r="A77" s="8">
        <v>43952</v>
      </c>
      <c r="B77" t="s">
        <v>22</v>
      </c>
      <c r="C77">
        <v>226540.5</v>
      </c>
      <c r="D77">
        <v>23953536</v>
      </c>
      <c r="E77" t="e">
        <v>#N/A</v>
      </c>
      <c r="F77" t="e">
        <v>#N/A</v>
      </c>
      <c r="G77" t="e">
        <v>#N/A</v>
      </c>
      <c r="H77" t="e">
        <v>#N/A</v>
      </c>
      <c r="I77">
        <v>18</v>
      </c>
    </row>
    <row r="78" spans="1:9" x14ac:dyDescent="0.3">
      <c r="A78" s="8">
        <v>43954</v>
      </c>
      <c r="B78" t="s">
        <v>22</v>
      </c>
      <c r="C78">
        <v>248148</v>
      </c>
      <c r="D78">
        <v>25519072.5</v>
      </c>
      <c r="E78" t="e">
        <v>#N/A</v>
      </c>
      <c r="F78" t="e">
        <v>#N/A</v>
      </c>
      <c r="G78" t="e">
        <v>#N/A</v>
      </c>
      <c r="H78" t="e">
        <v>#N/A</v>
      </c>
      <c r="I78">
        <v>18</v>
      </c>
    </row>
    <row r="79" spans="1:9" x14ac:dyDescent="0.3">
      <c r="A79" s="8">
        <v>43951</v>
      </c>
      <c r="B79" t="s">
        <v>22</v>
      </c>
      <c r="C79">
        <v>206038.5</v>
      </c>
      <c r="D79">
        <v>21740460</v>
      </c>
      <c r="E79" t="e">
        <v>#N/A</v>
      </c>
      <c r="F79" t="e">
        <v>#N/A</v>
      </c>
      <c r="G79" t="e">
        <v>#N/A</v>
      </c>
      <c r="H79" t="e">
        <v>#N/A</v>
      </c>
      <c r="I79">
        <v>18</v>
      </c>
    </row>
    <row r="80" spans="1:9" x14ac:dyDescent="0.3">
      <c r="A80" s="8">
        <v>43950</v>
      </c>
      <c r="B80" t="s">
        <v>23</v>
      </c>
      <c r="C80">
        <v>12250.5</v>
      </c>
      <c r="D80">
        <v>981519</v>
      </c>
      <c r="E80" t="e">
        <v>#N/A</v>
      </c>
      <c r="F80" t="e">
        <v>#N/A</v>
      </c>
      <c r="G80" t="e">
        <v>#N/A</v>
      </c>
      <c r="H80" t="e">
        <v>#N/A</v>
      </c>
      <c r="I80">
        <v>18</v>
      </c>
    </row>
    <row r="81" spans="1:9" x14ac:dyDescent="0.3">
      <c r="A81" s="8">
        <v>43949</v>
      </c>
      <c r="B81" t="s">
        <v>23</v>
      </c>
      <c r="C81">
        <v>12541.5</v>
      </c>
      <c r="D81">
        <v>992541</v>
      </c>
      <c r="E81" t="e">
        <v>#N/A</v>
      </c>
      <c r="F81" t="e">
        <v>#N/A</v>
      </c>
      <c r="G81" t="e">
        <v>#N/A</v>
      </c>
      <c r="H81" t="e">
        <v>#N/A</v>
      </c>
      <c r="I81">
        <v>18</v>
      </c>
    </row>
    <row r="82" spans="1:9" x14ac:dyDescent="0.3">
      <c r="A82" s="8">
        <v>43953</v>
      </c>
      <c r="B82" t="s">
        <v>23</v>
      </c>
      <c r="C82">
        <v>10018.5</v>
      </c>
      <c r="D82">
        <v>816859.5</v>
      </c>
      <c r="E82" t="e">
        <v>#N/A</v>
      </c>
      <c r="F82" t="e">
        <v>#N/A</v>
      </c>
      <c r="G82" t="e">
        <v>#N/A</v>
      </c>
      <c r="H82" t="e">
        <v>#N/A</v>
      </c>
      <c r="I82">
        <v>18</v>
      </c>
    </row>
    <row r="83" spans="1:9" x14ac:dyDescent="0.3">
      <c r="A83" s="8">
        <v>43952</v>
      </c>
      <c r="B83" t="s">
        <v>23</v>
      </c>
      <c r="C83">
        <v>13644</v>
      </c>
      <c r="D83">
        <v>1134444</v>
      </c>
      <c r="E83" t="e">
        <v>#N/A</v>
      </c>
      <c r="F83" t="e">
        <v>#N/A</v>
      </c>
      <c r="G83" t="e">
        <v>#N/A</v>
      </c>
      <c r="H83" t="e">
        <v>#N/A</v>
      </c>
      <c r="I83">
        <v>18</v>
      </c>
    </row>
    <row r="84" spans="1:9" x14ac:dyDescent="0.3">
      <c r="A84" s="8">
        <v>43954</v>
      </c>
      <c r="B84" t="s">
        <v>23</v>
      </c>
      <c r="C84">
        <v>10032</v>
      </c>
      <c r="D84">
        <v>816150</v>
      </c>
      <c r="E84" t="e">
        <v>#N/A</v>
      </c>
      <c r="F84" t="e">
        <v>#N/A</v>
      </c>
      <c r="G84" t="e">
        <v>#N/A</v>
      </c>
      <c r="H84" t="e">
        <v>#N/A</v>
      </c>
      <c r="I84">
        <v>18</v>
      </c>
    </row>
    <row r="85" spans="1:9" x14ac:dyDescent="0.3">
      <c r="A85" s="8">
        <v>43951</v>
      </c>
      <c r="B85" t="s">
        <v>23</v>
      </c>
      <c r="C85">
        <v>11976</v>
      </c>
      <c r="D85">
        <v>1004511</v>
      </c>
      <c r="E85" t="e">
        <v>#N/A</v>
      </c>
      <c r="F85" t="e">
        <v>#N/A</v>
      </c>
      <c r="G85" t="e">
        <v>#N/A</v>
      </c>
      <c r="H85" t="e">
        <v>#N/A</v>
      </c>
      <c r="I85">
        <v>18</v>
      </c>
    </row>
    <row r="86" spans="1:9" x14ac:dyDescent="0.3">
      <c r="A86" s="8">
        <v>43960</v>
      </c>
      <c r="B86" t="s">
        <v>10</v>
      </c>
      <c r="C86">
        <v>31147.5</v>
      </c>
      <c r="D86">
        <v>2831019</v>
      </c>
      <c r="E86">
        <v>21</v>
      </c>
      <c r="F86">
        <v>1735</v>
      </c>
      <c r="G86">
        <v>1568</v>
      </c>
      <c r="H86">
        <v>134810.42857142858</v>
      </c>
      <c r="I86">
        <v>19</v>
      </c>
    </row>
    <row r="87" spans="1:9" x14ac:dyDescent="0.3">
      <c r="A87" s="8">
        <v>43955</v>
      </c>
      <c r="B87" t="s">
        <v>10</v>
      </c>
      <c r="C87">
        <v>25566</v>
      </c>
      <c r="D87">
        <v>2372310</v>
      </c>
      <c r="E87">
        <v>20</v>
      </c>
      <c r="F87">
        <v>1519</v>
      </c>
      <c r="G87">
        <v>1372</v>
      </c>
      <c r="H87">
        <v>118615.5</v>
      </c>
      <c r="I87">
        <v>19</v>
      </c>
    </row>
    <row r="88" spans="1:9" x14ac:dyDescent="0.3">
      <c r="A88" s="8">
        <v>43956</v>
      </c>
      <c r="B88" t="s">
        <v>10</v>
      </c>
      <c r="C88">
        <v>31566</v>
      </c>
      <c r="D88">
        <v>2906763</v>
      </c>
      <c r="E88">
        <v>20</v>
      </c>
      <c r="F88">
        <v>1773</v>
      </c>
      <c r="G88">
        <v>1604</v>
      </c>
      <c r="H88">
        <v>145338.15</v>
      </c>
      <c r="I88">
        <v>19</v>
      </c>
    </row>
    <row r="89" spans="1:9" x14ac:dyDescent="0.3">
      <c r="A89" s="8">
        <v>43957</v>
      </c>
      <c r="B89" t="s">
        <v>10</v>
      </c>
      <c r="C89">
        <v>32511</v>
      </c>
      <c r="D89">
        <v>2938623</v>
      </c>
      <c r="E89">
        <v>20</v>
      </c>
      <c r="F89">
        <v>1784</v>
      </c>
      <c r="G89">
        <v>1632</v>
      </c>
      <c r="H89">
        <v>146931.15</v>
      </c>
      <c r="I89">
        <v>19</v>
      </c>
    </row>
    <row r="90" spans="1:9" x14ac:dyDescent="0.3">
      <c r="A90" s="8">
        <v>43961</v>
      </c>
      <c r="B90" t="s">
        <v>10</v>
      </c>
      <c r="C90">
        <v>36619.5</v>
      </c>
      <c r="D90">
        <v>3312967.5</v>
      </c>
      <c r="E90">
        <v>21</v>
      </c>
      <c r="F90">
        <v>2016</v>
      </c>
      <c r="G90">
        <v>1846</v>
      </c>
      <c r="H90">
        <v>157760.35714285713</v>
      </c>
      <c r="I90">
        <v>19</v>
      </c>
    </row>
    <row r="91" spans="1:9" x14ac:dyDescent="0.3">
      <c r="A91" s="8">
        <v>43959</v>
      </c>
      <c r="B91" t="s">
        <v>10</v>
      </c>
      <c r="C91">
        <v>29409</v>
      </c>
      <c r="D91">
        <v>2645160</v>
      </c>
      <c r="E91">
        <v>21</v>
      </c>
      <c r="F91">
        <v>1646</v>
      </c>
      <c r="G91">
        <v>1492</v>
      </c>
      <c r="H91">
        <v>125960</v>
      </c>
      <c r="I91">
        <v>19</v>
      </c>
    </row>
    <row r="92" spans="1:9" x14ac:dyDescent="0.3">
      <c r="A92" s="8">
        <v>43958</v>
      </c>
      <c r="B92" t="s">
        <v>10</v>
      </c>
      <c r="C92">
        <v>27018</v>
      </c>
      <c r="D92">
        <v>2472213</v>
      </c>
      <c r="E92">
        <v>21</v>
      </c>
      <c r="F92">
        <v>1542</v>
      </c>
      <c r="G92">
        <v>1405</v>
      </c>
      <c r="H92">
        <v>117724.42857142857</v>
      </c>
      <c r="I92">
        <v>19</v>
      </c>
    </row>
    <row r="93" spans="1:9" x14ac:dyDescent="0.3">
      <c r="A93" s="8">
        <v>43960</v>
      </c>
      <c r="B93" t="s">
        <v>11</v>
      </c>
      <c r="C93">
        <v>69720</v>
      </c>
      <c r="D93">
        <v>6264933</v>
      </c>
      <c r="E93">
        <v>31</v>
      </c>
      <c r="F93">
        <v>4556</v>
      </c>
      <c r="G93">
        <v>4220</v>
      </c>
      <c r="H93">
        <v>202094.61290322582</v>
      </c>
      <c r="I93">
        <v>19</v>
      </c>
    </row>
    <row r="94" spans="1:9" x14ac:dyDescent="0.3">
      <c r="A94" s="8">
        <v>43955</v>
      </c>
      <c r="B94" t="s">
        <v>11</v>
      </c>
      <c r="C94">
        <v>72928.5</v>
      </c>
      <c r="D94">
        <v>6642249</v>
      </c>
      <c r="E94">
        <v>31</v>
      </c>
      <c r="F94">
        <v>4968</v>
      </c>
      <c r="G94">
        <v>4596</v>
      </c>
      <c r="H94">
        <v>214266.09677419355</v>
      </c>
      <c r="I94">
        <v>19</v>
      </c>
    </row>
    <row r="95" spans="1:9" x14ac:dyDescent="0.3">
      <c r="A95" s="8">
        <v>43956</v>
      </c>
      <c r="B95" t="s">
        <v>11</v>
      </c>
      <c r="C95">
        <v>76585.5</v>
      </c>
      <c r="D95">
        <v>6921316.5</v>
      </c>
      <c r="E95">
        <v>31</v>
      </c>
      <c r="F95">
        <v>5188</v>
      </c>
      <c r="G95">
        <v>4800</v>
      </c>
      <c r="H95">
        <v>223268.27419354839</v>
      </c>
      <c r="I95">
        <v>19</v>
      </c>
    </row>
    <row r="96" spans="1:9" x14ac:dyDescent="0.3">
      <c r="A96" s="8">
        <v>43957</v>
      </c>
      <c r="B96" t="s">
        <v>11</v>
      </c>
      <c r="C96">
        <v>68994</v>
      </c>
      <c r="D96">
        <v>6168657</v>
      </c>
      <c r="E96">
        <v>31</v>
      </c>
      <c r="F96">
        <v>4709</v>
      </c>
      <c r="G96">
        <v>4348</v>
      </c>
      <c r="H96">
        <v>198988.93548387097</v>
      </c>
      <c r="I96">
        <v>19</v>
      </c>
    </row>
    <row r="97" spans="1:9" x14ac:dyDescent="0.3">
      <c r="A97" s="8">
        <v>43961</v>
      </c>
      <c r="B97" t="s">
        <v>11</v>
      </c>
      <c r="C97">
        <v>84132</v>
      </c>
      <c r="D97">
        <v>7483194</v>
      </c>
      <c r="E97">
        <v>31</v>
      </c>
      <c r="F97">
        <v>5495</v>
      </c>
      <c r="G97">
        <v>5093</v>
      </c>
      <c r="H97">
        <v>241393.35483870967</v>
      </c>
      <c r="I97">
        <v>19</v>
      </c>
    </row>
    <row r="98" spans="1:9" x14ac:dyDescent="0.3">
      <c r="A98" s="8">
        <v>43959</v>
      </c>
      <c r="B98" t="s">
        <v>11</v>
      </c>
      <c r="C98">
        <v>69544.5</v>
      </c>
      <c r="D98">
        <v>6293776.5</v>
      </c>
      <c r="E98">
        <v>31</v>
      </c>
      <c r="F98">
        <v>4635</v>
      </c>
      <c r="G98">
        <v>4266</v>
      </c>
      <c r="H98">
        <v>203025.04838709679</v>
      </c>
      <c r="I98">
        <v>19</v>
      </c>
    </row>
    <row r="99" spans="1:9" x14ac:dyDescent="0.3">
      <c r="A99" s="8">
        <v>43958</v>
      </c>
      <c r="B99" t="s">
        <v>11</v>
      </c>
      <c r="C99">
        <v>73204.5</v>
      </c>
      <c r="D99">
        <v>6591883.5</v>
      </c>
      <c r="E99">
        <v>31</v>
      </c>
      <c r="F99">
        <v>4903</v>
      </c>
      <c r="G99">
        <v>4527</v>
      </c>
      <c r="H99">
        <v>212641.40322580645</v>
      </c>
      <c r="I99">
        <v>19</v>
      </c>
    </row>
    <row r="100" spans="1:9" x14ac:dyDescent="0.3">
      <c r="A100" s="8">
        <v>43960</v>
      </c>
      <c r="B100" t="s">
        <v>12</v>
      </c>
      <c r="C100">
        <v>13216.5</v>
      </c>
      <c r="D100">
        <v>1046400</v>
      </c>
      <c r="E100">
        <v>10</v>
      </c>
      <c r="F100">
        <v>644</v>
      </c>
      <c r="G100">
        <v>559</v>
      </c>
      <c r="H100">
        <v>104640</v>
      </c>
      <c r="I100">
        <v>19</v>
      </c>
    </row>
    <row r="101" spans="1:9" x14ac:dyDescent="0.3">
      <c r="A101" s="8">
        <v>43955</v>
      </c>
      <c r="B101" t="s">
        <v>12</v>
      </c>
      <c r="C101">
        <v>9130.5</v>
      </c>
      <c r="D101">
        <v>728890.5</v>
      </c>
      <c r="E101">
        <v>10</v>
      </c>
      <c r="F101">
        <v>462</v>
      </c>
      <c r="G101">
        <v>396</v>
      </c>
      <c r="H101">
        <v>72889.05</v>
      </c>
      <c r="I101">
        <v>19</v>
      </c>
    </row>
    <row r="102" spans="1:9" x14ac:dyDescent="0.3">
      <c r="A102" s="8">
        <v>43956</v>
      </c>
      <c r="B102" t="s">
        <v>12</v>
      </c>
      <c r="C102">
        <v>10147.5</v>
      </c>
      <c r="D102">
        <v>793320</v>
      </c>
      <c r="E102">
        <v>10</v>
      </c>
      <c r="F102">
        <v>511</v>
      </c>
      <c r="G102">
        <v>437</v>
      </c>
      <c r="H102">
        <v>79332</v>
      </c>
      <c r="I102">
        <v>19</v>
      </c>
    </row>
    <row r="103" spans="1:9" x14ac:dyDescent="0.3">
      <c r="A103" s="8">
        <v>43957</v>
      </c>
      <c r="B103" t="s">
        <v>12</v>
      </c>
      <c r="C103">
        <v>9210</v>
      </c>
      <c r="D103">
        <v>696832.5</v>
      </c>
      <c r="E103">
        <v>10</v>
      </c>
      <c r="F103">
        <v>465</v>
      </c>
      <c r="G103">
        <v>390</v>
      </c>
      <c r="H103">
        <v>69683.25</v>
      </c>
      <c r="I103">
        <v>19</v>
      </c>
    </row>
    <row r="104" spans="1:9" x14ac:dyDescent="0.3">
      <c r="A104" s="8">
        <v>43961</v>
      </c>
      <c r="B104" t="s">
        <v>12</v>
      </c>
      <c r="C104">
        <v>12918</v>
      </c>
      <c r="D104">
        <v>1004788.5</v>
      </c>
      <c r="E104">
        <v>10</v>
      </c>
      <c r="F104">
        <v>642</v>
      </c>
      <c r="G104">
        <v>556</v>
      </c>
      <c r="H104">
        <v>100478.85</v>
      </c>
      <c r="I104">
        <v>19</v>
      </c>
    </row>
    <row r="105" spans="1:9" x14ac:dyDescent="0.3">
      <c r="A105" s="8">
        <v>43959</v>
      </c>
      <c r="B105" t="s">
        <v>12</v>
      </c>
      <c r="C105">
        <v>12528</v>
      </c>
      <c r="D105">
        <v>959703</v>
      </c>
      <c r="E105">
        <v>10</v>
      </c>
      <c r="F105">
        <v>638</v>
      </c>
      <c r="G105">
        <v>547</v>
      </c>
      <c r="H105">
        <v>95970.3</v>
      </c>
      <c r="I105">
        <v>19</v>
      </c>
    </row>
    <row r="106" spans="1:9" x14ac:dyDescent="0.3">
      <c r="A106" s="8">
        <v>43958</v>
      </c>
      <c r="B106" t="s">
        <v>12</v>
      </c>
      <c r="C106">
        <v>11029.5</v>
      </c>
      <c r="D106">
        <v>863754</v>
      </c>
      <c r="E106">
        <v>10</v>
      </c>
      <c r="F106">
        <v>563</v>
      </c>
      <c r="G106">
        <v>486</v>
      </c>
      <c r="H106">
        <v>86375.4</v>
      </c>
      <c r="I106">
        <v>19</v>
      </c>
    </row>
    <row r="107" spans="1:9" x14ac:dyDescent="0.3">
      <c r="A107" s="8">
        <v>43960</v>
      </c>
      <c r="B107" t="s">
        <v>13</v>
      </c>
      <c r="C107">
        <v>32079</v>
      </c>
      <c r="D107">
        <v>2902167</v>
      </c>
      <c r="E107">
        <v>19</v>
      </c>
      <c r="F107">
        <v>1851</v>
      </c>
      <c r="G107">
        <v>1635</v>
      </c>
      <c r="H107">
        <v>152745.63157894736</v>
      </c>
      <c r="I107">
        <v>19</v>
      </c>
    </row>
    <row r="108" spans="1:9" x14ac:dyDescent="0.3">
      <c r="A108" s="8">
        <v>43955</v>
      </c>
      <c r="B108" t="s">
        <v>13</v>
      </c>
      <c r="C108">
        <v>27072</v>
      </c>
      <c r="D108">
        <v>2450968.5</v>
      </c>
      <c r="E108">
        <v>19</v>
      </c>
      <c r="F108">
        <v>1582</v>
      </c>
      <c r="G108">
        <v>1403</v>
      </c>
      <c r="H108">
        <v>128998.34210526316</v>
      </c>
      <c r="I108">
        <v>19</v>
      </c>
    </row>
    <row r="109" spans="1:9" x14ac:dyDescent="0.3">
      <c r="A109" s="8">
        <v>43956</v>
      </c>
      <c r="B109" t="s">
        <v>13</v>
      </c>
      <c r="C109">
        <v>22848</v>
      </c>
      <c r="D109">
        <v>2079900</v>
      </c>
      <c r="E109">
        <v>19</v>
      </c>
      <c r="F109">
        <v>1417</v>
      </c>
      <c r="G109">
        <v>1245</v>
      </c>
      <c r="H109">
        <v>109468.42105263157</v>
      </c>
      <c r="I109">
        <v>19</v>
      </c>
    </row>
    <row r="110" spans="1:9" x14ac:dyDescent="0.3">
      <c r="A110" s="8">
        <v>43957</v>
      </c>
      <c r="B110" t="s">
        <v>13</v>
      </c>
      <c r="C110">
        <v>24678</v>
      </c>
      <c r="D110">
        <v>2232519</v>
      </c>
      <c r="E110">
        <v>19</v>
      </c>
      <c r="F110">
        <v>1499</v>
      </c>
      <c r="G110">
        <v>1323</v>
      </c>
      <c r="H110">
        <v>117501</v>
      </c>
      <c r="I110">
        <v>19</v>
      </c>
    </row>
    <row r="111" spans="1:9" x14ac:dyDescent="0.3">
      <c r="A111" s="8">
        <v>43961</v>
      </c>
      <c r="B111" t="s">
        <v>13</v>
      </c>
      <c r="C111">
        <v>31399.5</v>
      </c>
      <c r="D111">
        <v>2862298.5</v>
      </c>
      <c r="E111">
        <v>19</v>
      </c>
      <c r="F111">
        <v>1848</v>
      </c>
      <c r="G111">
        <v>1649</v>
      </c>
      <c r="H111">
        <v>150647.28947368421</v>
      </c>
      <c r="I111">
        <v>19</v>
      </c>
    </row>
    <row r="112" spans="1:9" x14ac:dyDescent="0.3">
      <c r="A112" s="8">
        <v>43959</v>
      </c>
      <c r="B112" t="s">
        <v>13</v>
      </c>
      <c r="C112">
        <v>25294.5</v>
      </c>
      <c r="D112">
        <v>2271454.5</v>
      </c>
      <c r="E112">
        <v>19</v>
      </c>
      <c r="F112">
        <v>1522</v>
      </c>
      <c r="G112">
        <v>1340</v>
      </c>
      <c r="H112">
        <v>119550.23684210527</v>
      </c>
      <c r="I112">
        <v>19</v>
      </c>
    </row>
    <row r="113" spans="1:9" x14ac:dyDescent="0.3">
      <c r="A113" s="8">
        <v>43958</v>
      </c>
      <c r="B113" t="s">
        <v>13</v>
      </c>
      <c r="C113">
        <v>25468.5</v>
      </c>
      <c r="D113">
        <v>2350672.5</v>
      </c>
      <c r="E113">
        <v>19</v>
      </c>
      <c r="F113">
        <v>1530</v>
      </c>
      <c r="G113">
        <v>1338</v>
      </c>
      <c r="H113">
        <v>123719.60526315789</v>
      </c>
      <c r="I113">
        <v>19</v>
      </c>
    </row>
    <row r="114" spans="1:9" x14ac:dyDescent="0.3">
      <c r="A114" s="8">
        <v>43960</v>
      </c>
      <c r="B114" t="s">
        <v>14</v>
      </c>
      <c r="C114">
        <v>285972</v>
      </c>
      <c r="D114">
        <v>29768199</v>
      </c>
      <c r="E114">
        <v>129</v>
      </c>
      <c r="F114">
        <v>16420</v>
      </c>
      <c r="G114">
        <v>15169</v>
      </c>
      <c r="H114">
        <v>230761.23255813954</v>
      </c>
      <c r="I114">
        <v>19</v>
      </c>
    </row>
    <row r="115" spans="1:9" x14ac:dyDescent="0.3">
      <c r="A115" s="8">
        <v>43955</v>
      </c>
      <c r="B115" t="s">
        <v>14</v>
      </c>
      <c r="C115">
        <v>283942.5</v>
      </c>
      <c r="D115">
        <v>29357940</v>
      </c>
      <c r="E115" t="e">
        <v>#N/A</v>
      </c>
      <c r="F115" t="e">
        <v>#N/A</v>
      </c>
      <c r="G115" t="e">
        <v>#N/A</v>
      </c>
      <c r="H115" t="e">
        <v>#N/A</v>
      </c>
      <c r="I115">
        <v>19</v>
      </c>
    </row>
    <row r="116" spans="1:9" x14ac:dyDescent="0.3">
      <c r="A116" s="8">
        <v>43956</v>
      </c>
      <c r="B116" t="s">
        <v>14</v>
      </c>
      <c r="C116">
        <v>262734</v>
      </c>
      <c r="D116">
        <v>27278441.145</v>
      </c>
      <c r="E116" t="e">
        <v>#N/A</v>
      </c>
      <c r="F116" t="e">
        <v>#N/A</v>
      </c>
      <c r="G116" t="e">
        <v>#N/A</v>
      </c>
      <c r="H116" t="e">
        <v>#N/A</v>
      </c>
      <c r="I116">
        <v>19</v>
      </c>
    </row>
    <row r="117" spans="1:9" x14ac:dyDescent="0.3">
      <c r="A117" s="8">
        <v>43957</v>
      </c>
      <c r="B117" t="s">
        <v>14</v>
      </c>
      <c r="C117">
        <v>277512</v>
      </c>
      <c r="D117">
        <v>28770810.105599999</v>
      </c>
      <c r="E117" t="e">
        <v>#N/A</v>
      </c>
      <c r="F117" t="e">
        <v>#N/A</v>
      </c>
      <c r="G117" t="e">
        <v>#N/A</v>
      </c>
      <c r="H117" t="e">
        <v>#N/A</v>
      </c>
      <c r="I117">
        <v>19</v>
      </c>
    </row>
    <row r="118" spans="1:9" x14ac:dyDescent="0.3">
      <c r="A118" s="8">
        <v>43961</v>
      </c>
      <c r="B118" t="s">
        <v>14</v>
      </c>
      <c r="C118">
        <v>287206.5</v>
      </c>
      <c r="D118">
        <v>29536176.10605</v>
      </c>
      <c r="E118">
        <v>129</v>
      </c>
      <c r="F118">
        <v>16437</v>
      </c>
      <c r="G118">
        <v>15285</v>
      </c>
      <c r="H118">
        <v>228962.6054732558</v>
      </c>
      <c r="I118">
        <v>19</v>
      </c>
    </row>
    <row r="119" spans="1:9" x14ac:dyDescent="0.3">
      <c r="A119" s="8">
        <v>43959</v>
      </c>
      <c r="B119" t="s">
        <v>14</v>
      </c>
      <c r="C119">
        <v>370092</v>
      </c>
      <c r="D119">
        <v>38091556.5</v>
      </c>
      <c r="E119">
        <v>129</v>
      </c>
      <c r="F119">
        <v>20452</v>
      </c>
      <c r="G119">
        <v>18857</v>
      </c>
      <c r="H119">
        <v>295283.38372093026</v>
      </c>
      <c r="I119">
        <v>19</v>
      </c>
    </row>
    <row r="120" spans="1:9" x14ac:dyDescent="0.3">
      <c r="A120" s="8">
        <v>43958</v>
      </c>
      <c r="B120" t="s">
        <v>14</v>
      </c>
      <c r="C120">
        <v>247813.5</v>
      </c>
      <c r="D120">
        <v>25325271</v>
      </c>
      <c r="E120">
        <v>129</v>
      </c>
      <c r="F120">
        <v>14582</v>
      </c>
      <c r="G120">
        <v>13512</v>
      </c>
      <c r="H120">
        <v>196319.93023255814</v>
      </c>
      <c r="I120">
        <v>19</v>
      </c>
    </row>
    <row r="121" spans="1:9" x14ac:dyDescent="0.3">
      <c r="A121" s="8">
        <v>43960</v>
      </c>
      <c r="B121" t="s">
        <v>15</v>
      </c>
      <c r="C121">
        <v>359214</v>
      </c>
      <c r="D121">
        <v>38693427</v>
      </c>
      <c r="E121">
        <v>125</v>
      </c>
      <c r="F121">
        <v>20132</v>
      </c>
      <c r="G121">
        <v>18617</v>
      </c>
      <c r="H121">
        <v>309547.41600000003</v>
      </c>
      <c r="I121">
        <v>19</v>
      </c>
    </row>
    <row r="122" spans="1:9" x14ac:dyDescent="0.3">
      <c r="A122" s="8">
        <v>43955</v>
      </c>
      <c r="B122" t="s">
        <v>15</v>
      </c>
      <c r="C122">
        <v>360255</v>
      </c>
      <c r="D122">
        <v>38406954</v>
      </c>
      <c r="E122" t="e">
        <v>#N/A</v>
      </c>
      <c r="F122" t="e">
        <v>#N/A</v>
      </c>
      <c r="G122" t="e">
        <v>#N/A</v>
      </c>
      <c r="H122" t="e">
        <v>#N/A</v>
      </c>
      <c r="I122">
        <v>19</v>
      </c>
    </row>
    <row r="123" spans="1:9" x14ac:dyDescent="0.3">
      <c r="A123" s="8">
        <v>43956</v>
      </c>
      <c r="B123" t="s">
        <v>15</v>
      </c>
      <c r="C123">
        <v>333792</v>
      </c>
      <c r="D123">
        <v>35671734</v>
      </c>
      <c r="E123" t="e">
        <v>#N/A</v>
      </c>
      <c r="F123" t="e">
        <v>#N/A</v>
      </c>
      <c r="G123" t="e">
        <v>#N/A</v>
      </c>
      <c r="H123" t="e">
        <v>#N/A</v>
      </c>
      <c r="I123">
        <v>19</v>
      </c>
    </row>
    <row r="124" spans="1:9" x14ac:dyDescent="0.3">
      <c r="A124" s="8">
        <v>43957</v>
      </c>
      <c r="B124" t="s">
        <v>15</v>
      </c>
      <c r="C124">
        <v>355278</v>
      </c>
      <c r="D124">
        <v>38092344</v>
      </c>
      <c r="E124" t="e">
        <v>#N/A</v>
      </c>
      <c r="F124" t="e">
        <v>#N/A</v>
      </c>
      <c r="G124" t="e">
        <v>#N/A</v>
      </c>
      <c r="H124" t="e">
        <v>#N/A</v>
      </c>
      <c r="I124">
        <v>19</v>
      </c>
    </row>
    <row r="125" spans="1:9" x14ac:dyDescent="0.3">
      <c r="A125" s="8">
        <v>43961</v>
      </c>
      <c r="B125" t="s">
        <v>15</v>
      </c>
      <c r="C125">
        <v>368649</v>
      </c>
      <c r="D125">
        <v>39010875</v>
      </c>
      <c r="E125">
        <v>125</v>
      </c>
      <c r="F125">
        <v>20368</v>
      </c>
      <c r="G125">
        <v>18884</v>
      </c>
      <c r="H125">
        <v>312087</v>
      </c>
      <c r="I125">
        <v>19</v>
      </c>
    </row>
    <row r="126" spans="1:9" x14ac:dyDescent="0.3">
      <c r="A126" s="8">
        <v>43959</v>
      </c>
      <c r="B126" t="s">
        <v>15</v>
      </c>
      <c r="C126">
        <v>463530</v>
      </c>
      <c r="D126">
        <v>49123180.5</v>
      </c>
      <c r="E126" t="e">
        <v>#N/A</v>
      </c>
      <c r="F126" t="e">
        <v>#N/A</v>
      </c>
      <c r="G126" t="e">
        <v>#N/A</v>
      </c>
      <c r="H126" t="e">
        <v>#N/A</v>
      </c>
      <c r="I126">
        <v>19</v>
      </c>
    </row>
    <row r="127" spans="1:9" x14ac:dyDescent="0.3">
      <c r="A127" s="8">
        <v>43958</v>
      </c>
      <c r="B127" t="s">
        <v>15</v>
      </c>
      <c r="C127">
        <v>319110</v>
      </c>
      <c r="D127">
        <v>33763989</v>
      </c>
      <c r="E127" t="e">
        <v>#N/A</v>
      </c>
      <c r="F127" t="e">
        <v>#N/A</v>
      </c>
      <c r="G127" t="e">
        <v>#N/A</v>
      </c>
      <c r="H127" t="e">
        <v>#N/A</v>
      </c>
      <c r="I127">
        <v>19</v>
      </c>
    </row>
    <row r="128" spans="1:9" x14ac:dyDescent="0.3">
      <c r="A128" s="8">
        <v>43960</v>
      </c>
      <c r="B128" t="s">
        <v>16</v>
      </c>
      <c r="C128">
        <v>83373</v>
      </c>
      <c r="D128">
        <v>7253427</v>
      </c>
      <c r="E128" t="e">
        <v>#N/A</v>
      </c>
      <c r="F128" t="e">
        <v>#N/A</v>
      </c>
      <c r="G128" t="e">
        <v>#N/A</v>
      </c>
      <c r="H128" t="e">
        <v>#N/A</v>
      </c>
      <c r="I128">
        <v>19</v>
      </c>
    </row>
    <row r="129" spans="1:9" x14ac:dyDescent="0.3">
      <c r="A129" s="8">
        <v>43955</v>
      </c>
      <c r="B129" t="s">
        <v>16</v>
      </c>
      <c r="C129">
        <v>64108.5</v>
      </c>
      <c r="D129">
        <v>5561452.5</v>
      </c>
      <c r="E129" t="e">
        <v>#N/A</v>
      </c>
      <c r="F129" t="e">
        <v>#N/A</v>
      </c>
      <c r="G129" t="e">
        <v>#N/A</v>
      </c>
      <c r="H129" t="e">
        <v>#N/A</v>
      </c>
      <c r="I129">
        <v>19</v>
      </c>
    </row>
    <row r="130" spans="1:9" x14ac:dyDescent="0.3">
      <c r="A130" s="8">
        <v>43956</v>
      </c>
      <c r="B130" t="s">
        <v>16</v>
      </c>
      <c r="C130">
        <v>66396</v>
      </c>
      <c r="D130">
        <v>5770539</v>
      </c>
      <c r="E130" t="e">
        <v>#N/A</v>
      </c>
      <c r="F130" t="e">
        <v>#N/A</v>
      </c>
      <c r="G130" t="e">
        <v>#N/A</v>
      </c>
      <c r="H130" t="e">
        <v>#N/A</v>
      </c>
      <c r="I130">
        <v>19</v>
      </c>
    </row>
    <row r="131" spans="1:9" x14ac:dyDescent="0.3">
      <c r="A131" s="8">
        <v>43957</v>
      </c>
      <c r="B131" t="s">
        <v>16</v>
      </c>
      <c r="C131">
        <v>63012</v>
      </c>
      <c r="D131">
        <v>5454121.5</v>
      </c>
      <c r="E131" t="e">
        <v>#N/A</v>
      </c>
      <c r="F131" t="e">
        <v>#N/A</v>
      </c>
      <c r="G131" t="e">
        <v>#N/A</v>
      </c>
      <c r="H131" t="e">
        <v>#N/A</v>
      </c>
      <c r="I131">
        <v>19</v>
      </c>
    </row>
    <row r="132" spans="1:9" x14ac:dyDescent="0.3">
      <c r="A132" s="8">
        <v>43961</v>
      </c>
      <c r="B132" t="s">
        <v>16</v>
      </c>
      <c r="C132">
        <v>88311</v>
      </c>
      <c r="D132">
        <v>7726069.5</v>
      </c>
      <c r="E132" t="e">
        <v>#N/A</v>
      </c>
      <c r="F132" t="e">
        <v>#N/A</v>
      </c>
      <c r="G132" t="e">
        <v>#N/A</v>
      </c>
      <c r="H132" t="e">
        <v>#N/A</v>
      </c>
      <c r="I132">
        <v>19</v>
      </c>
    </row>
    <row r="133" spans="1:9" x14ac:dyDescent="0.3">
      <c r="A133" s="8">
        <v>43959</v>
      </c>
      <c r="B133" t="s">
        <v>16</v>
      </c>
      <c r="C133">
        <v>61804.5</v>
      </c>
      <c r="D133">
        <v>5365708.5</v>
      </c>
      <c r="E133" t="e">
        <v>#N/A</v>
      </c>
      <c r="F133" t="e">
        <v>#N/A</v>
      </c>
      <c r="G133" t="e">
        <v>#N/A</v>
      </c>
      <c r="H133" t="e">
        <v>#N/A</v>
      </c>
      <c r="I133">
        <v>19</v>
      </c>
    </row>
    <row r="134" spans="1:9" x14ac:dyDescent="0.3">
      <c r="A134" s="8">
        <v>43958</v>
      </c>
      <c r="B134" t="s">
        <v>16</v>
      </c>
      <c r="C134">
        <v>71067</v>
      </c>
      <c r="D134">
        <v>6175837.5</v>
      </c>
      <c r="E134" t="e">
        <v>#N/A</v>
      </c>
      <c r="F134" t="e">
        <v>#N/A</v>
      </c>
      <c r="G134" t="e">
        <v>#N/A</v>
      </c>
      <c r="H134" t="e">
        <v>#N/A</v>
      </c>
      <c r="I134">
        <v>19</v>
      </c>
    </row>
    <row r="135" spans="1:9" x14ac:dyDescent="0.3">
      <c r="A135" s="8">
        <v>43960</v>
      </c>
      <c r="B135" t="s">
        <v>17</v>
      </c>
      <c r="C135">
        <v>32239.5</v>
      </c>
      <c r="D135">
        <v>3084892.5</v>
      </c>
      <c r="E135" t="e">
        <v>#N/A</v>
      </c>
      <c r="F135" t="e">
        <v>#N/A</v>
      </c>
      <c r="G135" t="e">
        <v>#N/A</v>
      </c>
      <c r="H135" t="e">
        <v>#N/A</v>
      </c>
      <c r="I135">
        <v>19</v>
      </c>
    </row>
    <row r="136" spans="1:9" x14ac:dyDescent="0.3">
      <c r="A136" s="8">
        <v>43955</v>
      </c>
      <c r="B136" t="s">
        <v>17</v>
      </c>
      <c r="C136">
        <v>30780</v>
      </c>
      <c r="D136">
        <v>2817853.5</v>
      </c>
      <c r="E136" t="e">
        <v>#N/A</v>
      </c>
      <c r="F136" t="e">
        <v>#N/A</v>
      </c>
      <c r="G136" t="e">
        <v>#N/A</v>
      </c>
      <c r="H136" t="e">
        <v>#N/A</v>
      </c>
      <c r="I136">
        <v>19</v>
      </c>
    </row>
    <row r="137" spans="1:9" x14ac:dyDescent="0.3">
      <c r="A137" s="8">
        <v>43956</v>
      </c>
      <c r="B137" t="s">
        <v>17</v>
      </c>
      <c r="C137">
        <v>29482.5</v>
      </c>
      <c r="D137">
        <v>2648688</v>
      </c>
      <c r="E137" t="e">
        <v>#N/A</v>
      </c>
      <c r="F137" t="e">
        <v>#N/A</v>
      </c>
      <c r="G137" t="e">
        <v>#N/A</v>
      </c>
      <c r="H137" t="e">
        <v>#N/A</v>
      </c>
      <c r="I137">
        <v>19</v>
      </c>
    </row>
    <row r="138" spans="1:9" x14ac:dyDescent="0.3">
      <c r="A138" s="8">
        <v>43957</v>
      </c>
      <c r="B138" t="s">
        <v>17</v>
      </c>
      <c r="C138">
        <v>30342</v>
      </c>
      <c r="D138">
        <v>2738127</v>
      </c>
      <c r="E138" t="e">
        <v>#N/A</v>
      </c>
      <c r="F138" t="e">
        <v>#N/A</v>
      </c>
      <c r="G138" t="e">
        <v>#N/A</v>
      </c>
      <c r="H138" t="e">
        <v>#N/A</v>
      </c>
      <c r="I138">
        <v>19</v>
      </c>
    </row>
    <row r="139" spans="1:9" x14ac:dyDescent="0.3">
      <c r="A139" s="8">
        <v>43961</v>
      </c>
      <c r="B139" t="s">
        <v>17</v>
      </c>
      <c r="C139">
        <v>37489.5</v>
      </c>
      <c r="D139">
        <v>3549097.5</v>
      </c>
      <c r="E139" t="e">
        <v>#N/A</v>
      </c>
      <c r="F139" t="e">
        <v>#N/A</v>
      </c>
      <c r="G139" t="e">
        <v>#N/A</v>
      </c>
      <c r="H139" t="e">
        <v>#N/A</v>
      </c>
      <c r="I139">
        <v>19</v>
      </c>
    </row>
    <row r="140" spans="1:9" x14ac:dyDescent="0.3">
      <c r="A140" s="8">
        <v>43959</v>
      </c>
      <c r="B140" t="s">
        <v>17</v>
      </c>
      <c r="C140">
        <v>34399.5</v>
      </c>
      <c r="D140">
        <v>3201358.5</v>
      </c>
      <c r="E140" t="e">
        <v>#N/A</v>
      </c>
      <c r="F140" t="e">
        <v>#N/A</v>
      </c>
      <c r="G140" t="e">
        <v>#N/A</v>
      </c>
      <c r="H140" t="e">
        <v>#N/A</v>
      </c>
      <c r="I140">
        <v>19</v>
      </c>
    </row>
    <row r="141" spans="1:9" x14ac:dyDescent="0.3">
      <c r="A141" s="8">
        <v>43958</v>
      </c>
      <c r="B141" t="s">
        <v>17</v>
      </c>
      <c r="C141">
        <v>32851.5</v>
      </c>
      <c r="D141">
        <v>2934504</v>
      </c>
      <c r="E141" t="e">
        <v>#N/A</v>
      </c>
      <c r="F141" t="e">
        <v>#N/A</v>
      </c>
      <c r="G141" t="e">
        <v>#N/A</v>
      </c>
      <c r="H141" t="e">
        <v>#N/A</v>
      </c>
      <c r="I141">
        <v>19</v>
      </c>
    </row>
    <row r="142" spans="1:9" x14ac:dyDescent="0.3">
      <c r="A142" s="8">
        <v>43960</v>
      </c>
      <c r="B142" t="s">
        <v>18</v>
      </c>
      <c r="C142">
        <v>13948.5</v>
      </c>
      <c r="D142">
        <v>1222932</v>
      </c>
      <c r="E142" t="e">
        <v>#N/A</v>
      </c>
      <c r="F142" t="e">
        <v>#N/A</v>
      </c>
      <c r="G142" t="e">
        <v>#N/A</v>
      </c>
      <c r="H142" t="e">
        <v>#N/A</v>
      </c>
      <c r="I142">
        <v>19</v>
      </c>
    </row>
    <row r="143" spans="1:9" x14ac:dyDescent="0.3">
      <c r="A143" s="8">
        <v>43955</v>
      </c>
      <c r="B143" t="s">
        <v>18</v>
      </c>
      <c r="C143">
        <v>12301.5</v>
      </c>
      <c r="D143">
        <v>1085211</v>
      </c>
      <c r="E143" t="e">
        <v>#N/A</v>
      </c>
      <c r="F143" t="e">
        <v>#N/A</v>
      </c>
      <c r="G143" t="e">
        <v>#N/A</v>
      </c>
      <c r="H143" t="e">
        <v>#N/A</v>
      </c>
      <c r="I143">
        <v>19</v>
      </c>
    </row>
    <row r="144" spans="1:9" x14ac:dyDescent="0.3">
      <c r="A144" s="8">
        <v>43956</v>
      </c>
      <c r="B144" t="s">
        <v>18</v>
      </c>
      <c r="C144">
        <v>15987</v>
      </c>
      <c r="D144">
        <v>1384179</v>
      </c>
      <c r="E144" t="e">
        <v>#N/A</v>
      </c>
      <c r="F144" t="e">
        <v>#N/A</v>
      </c>
      <c r="G144" t="e">
        <v>#N/A</v>
      </c>
      <c r="H144" t="e">
        <v>#N/A</v>
      </c>
      <c r="I144">
        <v>19</v>
      </c>
    </row>
    <row r="145" spans="1:9" x14ac:dyDescent="0.3">
      <c r="A145" s="8">
        <v>43957</v>
      </c>
      <c r="B145" t="s">
        <v>18</v>
      </c>
      <c r="C145">
        <v>14061</v>
      </c>
      <c r="D145">
        <v>1221057</v>
      </c>
      <c r="E145" t="e">
        <v>#N/A</v>
      </c>
      <c r="F145" t="e">
        <v>#N/A</v>
      </c>
      <c r="G145" t="e">
        <v>#N/A</v>
      </c>
      <c r="H145" t="e">
        <v>#N/A</v>
      </c>
      <c r="I145">
        <v>19</v>
      </c>
    </row>
    <row r="146" spans="1:9" x14ac:dyDescent="0.3">
      <c r="A146" s="8">
        <v>43961</v>
      </c>
      <c r="B146" t="s">
        <v>18</v>
      </c>
      <c r="C146">
        <v>16435.5</v>
      </c>
      <c r="D146">
        <v>1471537.5</v>
      </c>
      <c r="E146" t="e">
        <v>#N/A</v>
      </c>
      <c r="F146" t="e">
        <v>#N/A</v>
      </c>
      <c r="G146" t="e">
        <v>#N/A</v>
      </c>
      <c r="H146" t="e">
        <v>#N/A</v>
      </c>
      <c r="I146">
        <v>19</v>
      </c>
    </row>
    <row r="147" spans="1:9" x14ac:dyDescent="0.3">
      <c r="A147" s="8">
        <v>43959</v>
      </c>
      <c r="B147" t="s">
        <v>18</v>
      </c>
      <c r="C147">
        <v>14494.5</v>
      </c>
      <c r="D147">
        <v>1269786</v>
      </c>
      <c r="E147" t="e">
        <v>#N/A</v>
      </c>
      <c r="F147" t="e">
        <v>#N/A</v>
      </c>
      <c r="G147" t="e">
        <v>#N/A</v>
      </c>
      <c r="H147" t="e">
        <v>#N/A</v>
      </c>
      <c r="I147">
        <v>19</v>
      </c>
    </row>
    <row r="148" spans="1:9" x14ac:dyDescent="0.3">
      <c r="A148" s="8">
        <v>43958</v>
      </c>
      <c r="B148" t="s">
        <v>18</v>
      </c>
      <c r="C148">
        <v>12705</v>
      </c>
      <c r="D148">
        <v>1123894.5</v>
      </c>
      <c r="E148" t="e">
        <v>#N/A</v>
      </c>
      <c r="F148" t="e">
        <v>#N/A</v>
      </c>
      <c r="G148" t="e">
        <v>#N/A</v>
      </c>
      <c r="H148" t="e">
        <v>#N/A</v>
      </c>
      <c r="I148">
        <v>19</v>
      </c>
    </row>
    <row r="149" spans="1:9" x14ac:dyDescent="0.3">
      <c r="A149" s="8">
        <v>43960</v>
      </c>
      <c r="B149" t="s">
        <v>19</v>
      </c>
      <c r="C149">
        <v>12037.5</v>
      </c>
      <c r="D149">
        <v>1081216.5</v>
      </c>
      <c r="E149" t="e">
        <v>#N/A</v>
      </c>
      <c r="F149" t="e">
        <v>#N/A</v>
      </c>
      <c r="G149" t="e">
        <v>#N/A</v>
      </c>
      <c r="H149" t="e">
        <v>#N/A</v>
      </c>
      <c r="I149">
        <v>19</v>
      </c>
    </row>
    <row r="150" spans="1:9" x14ac:dyDescent="0.3">
      <c r="A150" s="8">
        <v>43955</v>
      </c>
      <c r="B150" t="s">
        <v>19</v>
      </c>
      <c r="C150">
        <v>7087.5</v>
      </c>
      <c r="D150">
        <v>610855.5</v>
      </c>
      <c r="E150" t="e">
        <v>#N/A</v>
      </c>
      <c r="F150" t="e">
        <v>#N/A</v>
      </c>
      <c r="G150" t="e">
        <v>#N/A</v>
      </c>
      <c r="H150" t="e">
        <v>#N/A</v>
      </c>
      <c r="I150">
        <v>19</v>
      </c>
    </row>
    <row r="151" spans="1:9" x14ac:dyDescent="0.3">
      <c r="A151" s="8">
        <v>43956</v>
      </c>
      <c r="B151" t="s">
        <v>19</v>
      </c>
      <c r="C151">
        <v>8223</v>
      </c>
      <c r="D151">
        <v>694593</v>
      </c>
      <c r="E151" t="e">
        <v>#N/A</v>
      </c>
      <c r="F151" t="e">
        <v>#N/A</v>
      </c>
      <c r="G151" t="e">
        <v>#N/A</v>
      </c>
      <c r="H151" t="e">
        <v>#N/A</v>
      </c>
      <c r="I151">
        <v>19</v>
      </c>
    </row>
    <row r="152" spans="1:9" x14ac:dyDescent="0.3">
      <c r="A152" s="8">
        <v>43957</v>
      </c>
      <c r="B152" t="s">
        <v>19</v>
      </c>
      <c r="C152">
        <v>8464.5</v>
      </c>
      <c r="D152">
        <v>739291.5</v>
      </c>
      <c r="E152" t="e">
        <v>#N/A</v>
      </c>
      <c r="F152" t="e">
        <v>#N/A</v>
      </c>
      <c r="G152" t="e">
        <v>#N/A</v>
      </c>
      <c r="H152" t="e">
        <v>#N/A</v>
      </c>
      <c r="I152">
        <v>19</v>
      </c>
    </row>
    <row r="153" spans="1:9" x14ac:dyDescent="0.3">
      <c r="A153" s="8">
        <v>43961</v>
      </c>
      <c r="B153" t="s">
        <v>19</v>
      </c>
      <c r="C153">
        <v>13440</v>
      </c>
      <c r="D153">
        <v>1198285.5</v>
      </c>
      <c r="E153" t="e">
        <v>#N/A</v>
      </c>
      <c r="F153" t="e">
        <v>#N/A</v>
      </c>
      <c r="G153" t="e">
        <v>#N/A</v>
      </c>
      <c r="H153" t="e">
        <v>#N/A</v>
      </c>
      <c r="I153">
        <v>19</v>
      </c>
    </row>
    <row r="154" spans="1:9" x14ac:dyDescent="0.3">
      <c r="A154" s="8">
        <v>43959</v>
      </c>
      <c r="B154" t="s">
        <v>19</v>
      </c>
      <c r="C154">
        <v>9058.5</v>
      </c>
      <c r="D154">
        <v>798759</v>
      </c>
      <c r="E154" t="e">
        <v>#N/A</v>
      </c>
      <c r="F154" t="e">
        <v>#N/A</v>
      </c>
      <c r="G154" t="e">
        <v>#N/A</v>
      </c>
      <c r="H154" t="e">
        <v>#N/A</v>
      </c>
      <c r="I154">
        <v>19</v>
      </c>
    </row>
    <row r="155" spans="1:9" x14ac:dyDescent="0.3">
      <c r="A155" s="8">
        <v>43958</v>
      </c>
      <c r="B155" t="s">
        <v>19</v>
      </c>
      <c r="C155">
        <v>8719.5</v>
      </c>
      <c r="D155">
        <v>769276.5</v>
      </c>
      <c r="E155" t="e">
        <v>#N/A</v>
      </c>
      <c r="F155" t="e">
        <v>#N/A</v>
      </c>
      <c r="G155" t="e">
        <v>#N/A</v>
      </c>
      <c r="H155" t="e">
        <v>#N/A</v>
      </c>
      <c r="I155">
        <v>19</v>
      </c>
    </row>
    <row r="156" spans="1:9" x14ac:dyDescent="0.3">
      <c r="A156" s="8">
        <v>43960</v>
      </c>
      <c r="B156" t="s">
        <v>20</v>
      </c>
      <c r="C156">
        <v>26271</v>
      </c>
      <c r="D156">
        <v>2384937</v>
      </c>
      <c r="E156" t="e">
        <v>#N/A</v>
      </c>
      <c r="F156" t="e">
        <v>#N/A</v>
      </c>
      <c r="G156" t="e">
        <v>#N/A</v>
      </c>
      <c r="H156" t="e">
        <v>#N/A</v>
      </c>
      <c r="I156">
        <v>19</v>
      </c>
    </row>
    <row r="157" spans="1:9" x14ac:dyDescent="0.3">
      <c r="A157" s="8">
        <v>43955</v>
      </c>
      <c r="B157" t="s">
        <v>20</v>
      </c>
      <c r="C157">
        <v>23587.5</v>
      </c>
      <c r="D157">
        <v>2155668</v>
      </c>
      <c r="E157" t="e">
        <v>#N/A</v>
      </c>
      <c r="F157" t="e">
        <v>#N/A</v>
      </c>
      <c r="G157" t="e">
        <v>#N/A</v>
      </c>
      <c r="H157" t="e">
        <v>#N/A</v>
      </c>
      <c r="I157">
        <v>19</v>
      </c>
    </row>
    <row r="158" spans="1:9" x14ac:dyDescent="0.3">
      <c r="A158" s="8">
        <v>43956</v>
      </c>
      <c r="B158" t="s">
        <v>20</v>
      </c>
      <c r="C158">
        <v>26367</v>
      </c>
      <c r="D158">
        <v>2380333.5</v>
      </c>
      <c r="E158" t="e">
        <v>#N/A</v>
      </c>
      <c r="F158" t="e">
        <v>#N/A</v>
      </c>
      <c r="G158" t="e">
        <v>#N/A</v>
      </c>
      <c r="H158" t="e">
        <v>#N/A</v>
      </c>
      <c r="I158">
        <v>19</v>
      </c>
    </row>
    <row r="159" spans="1:9" x14ac:dyDescent="0.3">
      <c r="A159" s="8">
        <v>43957</v>
      </c>
      <c r="B159" t="s">
        <v>20</v>
      </c>
      <c r="C159">
        <v>24337.5</v>
      </c>
      <c r="D159">
        <v>2159350.5</v>
      </c>
      <c r="E159" t="e">
        <v>#N/A</v>
      </c>
      <c r="F159" t="e">
        <v>#N/A</v>
      </c>
      <c r="G159" t="e">
        <v>#N/A</v>
      </c>
      <c r="H159" t="e">
        <v>#N/A</v>
      </c>
      <c r="I159">
        <v>19</v>
      </c>
    </row>
    <row r="160" spans="1:9" x14ac:dyDescent="0.3">
      <c r="A160" s="8">
        <v>43961</v>
      </c>
      <c r="B160" t="s">
        <v>20</v>
      </c>
      <c r="C160">
        <v>31224</v>
      </c>
      <c r="D160">
        <v>2767270.5</v>
      </c>
      <c r="E160" t="e">
        <v>#N/A</v>
      </c>
      <c r="F160" t="e">
        <v>#N/A</v>
      </c>
      <c r="G160" t="e">
        <v>#N/A</v>
      </c>
      <c r="H160" t="e">
        <v>#N/A</v>
      </c>
      <c r="I160">
        <v>19</v>
      </c>
    </row>
    <row r="161" spans="1:9" x14ac:dyDescent="0.3">
      <c r="A161" s="8">
        <v>43959</v>
      </c>
      <c r="B161" t="s">
        <v>20</v>
      </c>
      <c r="C161">
        <v>25020</v>
      </c>
      <c r="D161">
        <v>2235960</v>
      </c>
      <c r="E161" t="e">
        <v>#N/A</v>
      </c>
      <c r="F161" t="e">
        <v>#N/A</v>
      </c>
      <c r="G161" t="e">
        <v>#N/A</v>
      </c>
      <c r="H161" t="e">
        <v>#N/A</v>
      </c>
      <c r="I161">
        <v>19</v>
      </c>
    </row>
    <row r="162" spans="1:9" x14ac:dyDescent="0.3">
      <c r="A162" s="8">
        <v>43958</v>
      </c>
      <c r="B162" t="s">
        <v>20</v>
      </c>
      <c r="C162">
        <v>26184</v>
      </c>
      <c r="D162">
        <v>2308336.5</v>
      </c>
      <c r="E162" t="e">
        <v>#N/A</v>
      </c>
      <c r="F162" t="e">
        <v>#N/A</v>
      </c>
      <c r="G162" t="e">
        <v>#N/A</v>
      </c>
      <c r="H162" t="e">
        <v>#N/A</v>
      </c>
      <c r="I162">
        <v>19</v>
      </c>
    </row>
    <row r="163" spans="1:9" x14ac:dyDescent="0.3">
      <c r="A163" s="8">
        <v>43960</v>
      </c>
      <c r="B163" t="s">
        <v>21</v>
      </c>
      <c r="C163">
        <v>188319</v>
      </c>
      <c r="D163">
        <v>19218631.5</v>
      </c>
      <c r="E163" t="e">
        <v>#N/A</v>
      </c>
      <c r="F163" t="e">
        <v>#N/A</v>
      </c>
      <c r="G163" t="e">
        <v>#N/A</v>
      </c>
      <c r="H163" t="e">
        <v>#N/A</v>
      </c>
      <c r="I163">
        <v>19</v>
      </c>
    </row>
    <row r="164" spans="1:9" x14ac:dyDescent="0.3">
      <c r="A164" s="8">
        <v>43955</v>
      </c>
      <c r="B164" t="s">
        <v>21</v>
      </c>
      <c r="C164">
        <v>237544.5</v>
      </c>
      <c r="D164">
        <v>24292218</v>
      </c>
      <c r="E164" t="e">
        <v>#N/A</v>
      </c>
      <c r="F164" t="e">
        <v>#N/A</v>
      </c>
      <c r="G164" t="e">
        <v>#N/A</v>
      </c>
      <c r="H164" t="e">
        <v>#N/A</v>
      </c>
      <c r="I164">
        <v>19</v>
      </c>
    </row>
    <row r="165" spans="1:9" x14ac:dyDescent="0.3">
      <c r="A165" s="8">
        <v>43956</v>
      </c>
      <c r="B165" t="s">
        <v>21</v>
      </c>
      <c r="C165">
        <v>213582</v>
      </c>
      <c r="D165">
        <v>21919435.5</v>
      </c>
      <c r="E165" t="e">
        <v>#N/A</v>
      </c>
      <c r="F165" t="e">
        <v>#N/A</v>
      </c>
      <c r="G165" t="e">
        <v>#N/A</v>
      </c>
      <c r="H165" t="e">
        <v>#N/A</v>
      </c>
      <c r="I165">
        <v>19</v>
      </c>
    </row>
    <row r="166" spans="1:9" x14ac:dyDescent="0.3">
      <c r="A166" s="8">
        <v>43957</v>
      </c>
      <c r="B166" t="s">
        <v>21</v>
      </c>
      <c r="C166">
        <v>224779.5</v>
      </c>
      <c r="D166">
        <v>23032992</v>
      </c>
      <c r="E166" t="e">
        <v>#N/A</v>
      </c>
      <c r="F166" t="e">
        <v>#N/A</v>
      </c>
      <c r="G166" t="e">
        <v>#N/A</v>
      </c>
      <c r="H166" t="e">
        <v>#N/A</v>
      </c>
      <c r="I166">
        <v>19</v>
      </c>
    </row>
    <row r="167" spans="1:9" x14ac:dyDescent="0.3">
      <c r="A167" s="8">
        <v>43961</v>
      </c>
      <c r="B167" t="s">
        <v>21</v>
      </c>
      <c r="C167">
        <v>243825</v>
      </c>
      <c r="D167">
        <v>24890404.5</v>
      </c>
      <c r="E167" t="e">
        <v>#N/A</v>
      </c>
      <c r="F167" t="e">
        <v>#N/A</v>
      </c>
      <c r="G167" t="e">
        <v>#N/A</v>
      </c>
      <c r="H167" t="e">
        <v>#N/A</v>
      </c>
      <c r="I167">
        <v>19</v>
      </c>
    </row>
    <row r="168" spans="1:9" x14ac:dyDescent="0.3">
      <c r="A168" s="8">
        <v>43959</v>
      </c>
      <c r="B168" t="s">
        <v>21</v>
      </c>
      <c r="C168">
        <v>232701</v>
      </c>
      <c r="D168">
        <v>23881948.5</v>
      </c>
      <c r="E168" t="e">
        <v>#N/A</v>
      </c>
      <c r="F168" t="e">
        <v>#N/A</v>
      </c>
      <c r="G168" t="e">
        <v>#N/A</v>
      </c>
      <c r="H168" t="e">
        <v>#N/A</v>
      </c>
      <c r="I168">
        <v>19</v>
      </c>
    </row>
    <row r="169" spans="1:9" x14ac:dyDescent="0.3">
      <c r="A169" s="8">
        <v>43958</v>
      </c>
      <c r="B169" t="s">
        <v>21</v>
      </c>
      <c r="C169">
        <v>219411</v>
      </c>
      <c r="D169">
        <v>22460130</v>
      </c>
      <c r="E169" t="e">
        <v>#N/A</v>
      </c>
      <c r="F169" t="e">
        <v>#N/A</v>
      </c>
      <c r="G169" t="e">
        <v>#N/A</v>
      </c>
      <c r="H169" t="e">
        <v>#N/A</v>
      </c>
      <c r="I169">
        <v>19</v>
      </c>
    </row>
    <row r="170" spans="1:9" x14ac:dyDescent="0.3">
      <c r="A170" s="8">
        <v>43960</v>
      </c>
      <c r="B170" t="s">
        <v>22</v>
      </c>
      <c r="C170">
        <v>177976.5</v>
      </c>
      <c r="D170">
        <v>18085798.5</v>
      </c>
      <c r="E170" t="e">
        <v>#N/A</v>
      </c>
      <c r="F170" t="e">
        <v>#N/A</v>
      </c>
      <c r="G170" t="e">
        <v>#N/A</v>
      </c>
      <c r="H170" t="e">
        <v>#N/A</v>
      </c>
      <c r="I170">
        <v>19</v>
      </c>
    </row>
    <row r="171" spans="1:9" x14ac:dyDescent="0.3">
      <c r="A171" s="8">
        <v>43955</v>
      </c>
      <c r="B171" t="s">
        <v>22</v>
      </c>
      <c r="C171">
        <v>223617</v>
      </c>
      <c r="D171">
        <v>22796827.5</v>
      </c>
      <c r="E171" t="e">
        <v>#N/A</v>
      </c>
      <c r="F171" t="e">
        <v>#N/A</v>
      </c>
      <c r="G171" t="e">
        <v>#N/A</v>
      </c>
      <c r="H171" t="e">
        <v>#N/A</v>
      </c>
      <c r="I171">
        <v>19</v>
      </c>
    </row>
    <row r="172" spans="1:9" x14ac:dyDescent="0.3">
      <c r="A172" s="8">
        <v>43956</v>
      </c>
      <c r="B172" t="s">
        <v>22</v>
      </c>
      <c r="C172">
        <v>203832</v>
      </c>
      <c r="D172">
        <v>20880142.5</v>
      </c>
      <c r="E172" t="e">
        <v>#N/A</v>
      </c>
      <c r="F172" t="e">
        <v>#N/A</v>
      </c>
      <c r="G172" t="e">
        <v>#N/A</v>
      </c>
      <c r="H172" t="e">
        <v>#N/A</v>
      </c>
      <c r="I172">
        <v>19</v>
      </c>
    </row>
    <row r="173" spans="1:9" x14ac:dyDescent="0.3">
      <c r="A173" s="8">
        <v>43957</v>
      </c>
      <c r="B173" t="s">
        <v>22</v>
      </c>
      <c r="C173">
        <v>216498</v>
      </c>
      <c r="D173">
        <v>22126444.5</v>
      </c>
      <c r="E173" t="e">
        <v>#N/A</v>
      </c>
      <c r="F173" t="e">
        <v>#N/A</v>
      </c>
      <c r="G173" t="e">
        <v>#N/A</v>
      </c>
      <c r="H173" t="e">
        <v>#N/A</v>
      </c>
      <c r="I173">
        <v>19</v>
      </c>
    </row>
    <row r="174" spans="1:9" x14ac:dyDescent="0.3">
      <c r="A174" s="8">
        <v>43961</v>
      </c>
      <c r="B174" t="s">
        <v>22</v>
      </c>
      <c r="C174">
        <v>231559.5</v>
      </c>
      <c r="D174">
        <v>23443725</v>
      </c>
      <c r="E174" t="e">
        <v>#N/A</v>
      </c>
      <c r="F174" t="e">
        <v>#N/A</v>
      </c>
      <c r="G174" t="e">
        <v>#N/A</v>
      </c>
      <c r="H174" t="e">
        <v>#N/A</v>
      </c>
      <c r="I174">
        <v>19</v>
      </c>
    </row>
    <row r="175" spans="1:9" x14ac:dyDescent="0.3">
      <c r="A175" s="8">
        <v>43959</v>
      </c>
      <c r="B175" t="s">
        <v>22</v>
      </c>
      <c r="C175">
        <v>225076.5</v>
      </c>
      <c r="D175">
        <v>22846078.5</v>
      </c>
      <c r="E175" t="e">
        <v>#N/A</v>
      </c>
      <c r="F175" t="e">
        <v>#N/A</v>
      </c>
      <c r="G175" t="e">
        <v>#N/A</v>
      </c>
      <c r="H175" t="e">
        <v>#N/A</v>
      </c>
      <c r="I175">
        <v>19</v>
      </c>
    </row>
    <row r="176" spans="1:9" x14ac:dyDescent="0.3">
      <c r="A176" s="8">
        <v>43958</v>
      </c>
      <c r="B176" t="s">
        <v>22</v>
      </c>
      <c r="C176">
        <v>209415</v>
      </c>
      <c r="D176">
        <v>21463023</v>
      </c>
      <c r="E176" t="e">
        <v>#N/A</v>
      </c>
      <c r="F176" t="e">
        <v>#N/A</v>
      </c>
      <c r="G176" t="e">
        <v>#N/A</v>
      </c>
      <c r="H176" t="e">
        <v>#N/A</v>
      </c>
      <c r="I176">
        <v>19</v>
      </c>
    </row>
    <row r="177" spans="1:9" x14ac:dyDescent="0.3">
      <c r="A177" s="8">
        <v>43960</v>
      </c>
      <c r="B177" t="s">
        <v>23</v>
      </c>
      <c r="C177">
        <v>11745</v>
      </c>
      <c r="D177">
        <v>955801.5</v>
      </c>
      <c r="E177" t="e">
        <v>#N/A</v>
      </c>
      <c r="F177" t="e">
        <v>#N/A</v>
      </c>
      <c r="G177" t="e">
        <v>#N/A</v>
      </c>
      <c r="H177" t="e">
        <v>#N/A</v>
      </c>
      <c r="I177">
        <v>19</v>
      </c>
    </row>
    <row r="178" spans="1:9" x14ac:dyDescent="0.3">
      <c r="A178" s="8">
        <v>43955</v>
      </c>
      <c r="B178" t="s">
        <v>23</v>
      </c>
      <c r="C178">
        <v>11062.5</v>
      </c>
      <c r="D178">
        <v>906343.5</v>
      </c>
      <c r="E178" t="e">
        <v>#N/A</v>
      </c>
      <c r="F178" t="e">
        <v>#N/A</v>
      </c>
      <c r="G178" t="e">
        <v>#N/A</v>
      </c>
      <c r="H178" t="e">
        <v>#N/A</v>
      </c>
      <c r="I178">
        <v>19</v>
      </c>
    </row>
    <row r="179" spans="1:9" x14ac:dyDescent="0.3">
      <c r="A179" s="8">
        <v>43956</v>
      </c>
      <c r="B179" t="s">
        <v>23</v>
      </c>
      <c r="C179">
        <v>13941</v>
      </c>
      <c r="D179">
        <v>1145575.5</v>
      </c>
      <c r="E179" t="e">
        <v>#N/A</v>
      </c>
      <c r="F179" t="e">
        <v>#N/A</v>
      </c>
      <c r="G179" t="e">
        <v>#N/A</v>
      </c>
      <c r="H179" t="e">
        <v>#N/A</v>
      </c>
      <c r="I179">
        <v>19</v>
      </c>
    </row>
    <row r="180" spans="1:9" x14ac:dyDescent="0.3">
      <c r="A180" s="8">
        <v>43957</v>
      </c>
      <c r="B180" t="s">
        <v>23</v>
      </c>
      <c r="C180">
        <v>12468</v>
      </c>
      <c r="D180">
        <v>1016566.5</v>
      </c>
      <c r="E180" t="e">
        <v>#N/A</v>
      </c>
      <c r="F180" t="e">
        <v>#N/A</v>
      </c>
      <c r="G180" t="e">
        <v>#N/A</v>
      </c>
      <c r="H180" t="e">
        <v>#N/A</v>
      </c>
      <c r="I180">
        <v>19</v>
      </c>
    </row>
    <row r="181" spans="1:9" x14ac:dyDescent="0.3">
      <c r="A181" s="8">
        <v>43961</v>
      </c>
      <c r="B181" t="s">
        <v>23</v>
      </c>
      <c r="C181">
        <v>14566.5</v>
      </c>
      <c r="D181">
        <v>1216557</v>
      </c>
      <c r="E181" t="e">
        <v>#N/A</v>
      </c>
      <c r="F181" t="e">
        <v>#N/A</v>
      </c>
      <c r="G181" t="e">
        <v>#N/A</v>
      </c>
      <c r="H181" t="e">
        <v>#N/A</v>
      </c>
      <c r="I181">
        <v>19</v>
      </c>
    </row>
    <row r="182" spans="1:9" x14ac:dyDescent="0.3">
      <c r="A182" s="8">
        <v>43959</v>
      </c>
      <c r="B182" t="s">
        <v>23</v>
      </c>
      <c r="C182">
        <v>12976.5</v>
      </c>
      <c r="D182">
        <v>1046848.5</v>
      </c>
      <c r="E182" t="e">
        <v>#N/A</v>
      </c>
      <c r="F182" t="e">
        <v>#N/A</v>
      </c>
      <c r="G182" t="e">
        <v>#N/A</v>
      </c>
      <c r="H182" t="e">
        <v>#N/A</v>
      </c>
      <c r="I182">
        <v>19</v>
      </c>
    </row>
    <row r="183" spans="1:9" x14ac:dyDescent="0.3">
      <c r="A183" s="8">
        <v>43958</v>
      </c>
      <c r="B183" t="s">
        <v>23</v>
      </c>
      <c r="C183">
        <v>11719.5</v>
      </c>
      <c r="D183">
        <v>965880</v>
      </c>
      <c r="E183" t="e">
        <v>#N/A</v>
      </c>
      <c r="F183" t="e">
        <v>#N/A</v>
      </c>
      <c r="G183" t="e">
        <v>#N/A</v>
      </c>
      <c r="H183" t="e">
        <v>#N/A</v>
      </c>
      <c r="I183">
        <v>19</v>
      </c>
    </row>
    <row r="184" spans="1:9" x14ac:dyDescent="0.3">
      <c r="A184" s="8">
        <v>43967</v>
      </c>
      <c r="B184" t="s">
        <v>10</v>
      </c>
      <c r="C184">
        <v>38947.5</v>
      </c>
      <c r="D184">
        <v>3395892</v>
      </c>
      <c r="E184">
        <v>21</v>
      </c>
      <c r="F184">
        <v>2145</v>
      </c>
      <c r="G184">
        <v>1947</v>
      </c>
      <c r="H184">
        <v>161709.14285714287</v>
      </c>
      <c r="I184">
        <v>20</v>
      </c>
    </row>
    <row r="185" spans="1:9" x14ac:dyDescent="0.3">
      <c r="A185" s="8">
        <v>43968</v>
      </c>
      <c r="B185" t="s">
        <v>10</v>
      </c>
      <c r="C185">
        <v>32023.5</v>
      </c>
      <c r="D185">
        <v>2882458.5</v>
      </c>
      <c r="E185">
        <v>21</v>
      </c>
      <c r="F185">
        <v>1874</v>
      </c>
      <c r="G185">
        <v>1705</v>
      </c>
      <c r="H185">
        <v>137259.92857142858</v>
      </c>
      <c r="I185">
        <v>20</v>
      </c>
    </row>
    <row r="186" spans="1:9" x14ac:dyDescent="0.3">
      <c r="A186" s="8">
        <v>43963</v>
      </c>
      <c r="B186" t="s">
        <v>10</v>
      </c>
      <c r="C186">
        <v>28219.5</v>
      </c>
      <c r="D186">
        <v>2595778.5</v>
      </c>
      <c r="E186">
        <v>21</v>
      </c>
      <c r="F186">
        <v>1656</v>
      </c>
      <c r="G186">
        <v>1516</v>
      </c>
      <c r="H186">
        <v>123608.5</v>
      </c>
      <c r="I186">
        <v>20</v>
      </c>
    </row>
    <row r="187" spans="1:9" x14ac:dyDescent="0.3">
      <c r="A187" s="8">
        <v>43964</v>
      </c>
      <c r="B187" t="s">
        <v>10</v>
      </c>
      <c r="C187">
        <v>29241</v>
      </c>
      <c r="D187">
        <v>2629782</v>
      </c>
      <c r="E187">
        <v>21</v>
      </c>
      <c r="F187">
        <v>1698</v>
      </c>
      <c r="G187">
        <v>1554</v>
      </c>
      <c r="H187">
        <v>125227.71428571429</v>
      </c>
      <c r="I187">
        <v>20</v>
      </c>
    </row>
    <row r="188" spans="1:9" x14ac:dyDescent="0.3">
      <c r="A188" s="8">
        <v>43967</v>
      </c>
      <c r="B188" t="s">
        <v>11</v>
      </c>
      <c r="C188">
        <v>88063.5</v>
      </c>
      <c r="D188">
        <v>7583758.5</v>
      </c>
      <c r="E188">
        <v>31</v>
      </c>
      <c r="F188">
        <v>5593</v>
      </c>
      <c r="G188">
        <v>5177</v>
      </c>
      <c r="H188">
        <v>244637.37096774194</v>
      </c>
      <c r="I188">
        <v>20</v>
      </c>
    </row>
    <row r="189" spans="1:9" x14ac:dyDescent="0.3">
      <c r="A189" s="8">
        <v>43968</v>
      </c>
      <c r="B189" t="s">
        <v>11</v>
      </c>
      <c r="C189">
        <v>78057</v>
      </c>
      <c r="D189">
        <v>6774946.5</v>
      </c>
      <c r="E189">
        <v>31</v>
      </c>
      <c r="F189">
        <v>5206</v>
      </c>
      <c r="G189">
        <v>4843</v>
      </c>
      <c r="H189">
        <v>218546.66129032258</v>
      </c>
      <c r="I189">
        <v>20</v>
      </c>
    </row>
    <row r="190" spans="1:9" x14ac:dyDescent="0.3">
      <c r="A190" s="8">
        <v>43963</v>
      </c>
      <c r="B190" t="s">
        <v>11</v>
      </c>
      <c r="C190">
        <v>71520</v>
      </c>
      <c r="D190">
        <v>6398361</v>
      </c>
      <c r="E190">
        <v>31</v>
      </c>
      <c r="F190">
        <v>4800</v>
      </c>
      <c r="G190">
        <v>4470</v>
      </c>
      <c r="H190">
        <v>206398.74193548388</v>
      </c>
      <c r="I190">
        <v>20</v>
      </c>
    </row>
    <row r="191" spans="1:9" x14ac:dyDescent="0.3">
      <c r="A191" s="8">
        <v>43964</v>
      </c>
      <c r="B191" t="s">
        <v>11</v>
      </c>
      <c r="C191">
        <v>78846</v>
      </c>
      <c r="D191">
        <v>6993952.5</v>
      </c>
      <c r="E191">
        <v>31</v>
      </c>
      <c r="F191">
        <v>5251</v>
      </c>
      <c r="G191">
        <v>4853</v>
      </c>
      <c r="H191">
        <v>225611.37096774194</v>
      </c>
      <c r="I191">
        <v>20</v>
      </c>
    </row>
    <row r="192" spans="1:9" x14ac:dyDescent="0.3">
      <c r="A192" s="8">
        <v>43967</v>
      </c>
      <c r="B192" t="s">
        <v>12</v>
      </c>
      <c r="C192">
        <v>14265</v>
      </c>
      <c r="D192">
        <v>1130506.5</v>
      </c>
      <c r="E192">
        <v>10</v>
      </c>
      <c r="F192">
        <v>760</v>
      </c>
      <c r="G192">
        <v>672</v>
      </c>
      <c r="H192">
        <v>113050.65</v>
      </c>
      <c r="I192">
        <v>20</v>
      </c>
    </row>
    <row r="193" spans="1:9" x14ac:dyDescent="0.3">
      <c r="A193" s="8">
        <v>43968</v>
      </c>
      <c r="B193" t="s">
        <v>12</v>
      </c>
      <c r="C193">
        <v>10402.5</v>
      </c>
      <c r="D193">
        <v>843727.5</v>
      </c>
      <c r="E193">
        <v>10</v>
      </c>
      <c r="F193">
        <v>591</v>
      </c>
      <c r="G193">
        <v>513</v>
      </c>
      <c r="H193">
        <v>84372.75</v>
      </c>
      <c r="I193">
        <v>20</v>
      </c>
    </row>
    <row r="194" spans="1:9" x14ac:dyDescent="0.3">
      <c r="A194" s="8">
        <v>43963</v>
      </c>
      <c r="B194" t="s">
        <v>12</v>
      </c>
      <c r="C194">
        <v>9328.5</v>
      </c>
      <c r="D194">
        <v>732964.5</v>
      </c>
      <c r="E194">
        <v>10</v>
      </c>
      <c r="F194">
        <v>526</v>
      </c>
      <c r="G194">
        <v>448</v>
      </c>
      <c r="H194">
        <v>73296.45</v>
      </c>
      <c r="I194">
        <v>20</v>
      </c>
    </row>
    <row r="195" spans="1:9" x14ac:dyDescent="0.3">
      <c r="A195" s="8">
        <v>43964</v>
      </c>
      <c r="B195" t="s">
        <v>12</v>
      </c>
      <c r="C195">
        <v>11202</v>
      </c>
      <c r="D195">
        <v>865714.5</v>
      </c>
      <c r="E195">
        <v>10</v>
      </c>
      <c r="F195">
        <v>612</v>
      </c>
      <c r="G195">
        <v>530</v>
      </c>
      <c r="H195">
        <v>86571.45</v>
      </c>
      <c r="I195">
        <v>20</v>
      </c>
    </row>
    <row r="196" spans="1:9" x14ac:dyDescent="0.3">
      <c r="A196" s="8">
        <v>43967</v>
      </c>
      <c r="B196" t="s">
        <v>13</v>
      </c>
      <c r="C196">
        <v>35482.5</v>
      </c>
      <c r="D196">
        <v>3222517.5</v>
      </c>
      <c r="E196">
        <v>19</v>
      </c>
      <c r="F196">
        <v>2080</v>
      </c>
      <c r="G196">
        <v>1844</v>
      </c>
      <c r="H196">
        <v>169606.18421052632</v>
      </c>
      <c r="I196">
        <v>20</v>
      </c>
    </row>
    <row r="197" spans="1:9" x14ac:dyDescent="0.3">
      <c r="A197" s="8">
        <v>43968</v>
      </c>
      <c r="B197" t="s">
        <v>13</v>
      </c>
      <c r="C197">
        <v>30486</v>
      </c>
      <c r="D197">
        <v>2694289.5</v>
      </c>
      <c r="E197">
        <v>19</v>
      </c>
      <c r="F197">
        <v>1871</v>
      </c>
      <c r="G197">
        <v>1660</v>
      </c>
      <c r="H197">
        <v>141804.71052631579</v>
      </c>
      <c r="I197">
        <v>20</v>
      </c>
    </row>
    <row r="198" spans="1:9" x14ac:dyDescent="0.3">
      <c r="A198" s="8">
        <v>43963</v>
      </c>
      <c r="B198" t="s">
        <v>13</v>
      </c>
      <c r="C198">
        <v>26032.5</v>
      </c>
      <c r="D198">
        <v>2370432</v>
      </c>
      <c r="E198">
        <v>19</v>
      </c>
      <c r="F198">
        <v>1649</v>
      </c>
      <c r="G198">
        <v>1460</v>
      </c>
      <c r="H198">
        <v>124759.57894736843</v>
      </c>
      <c r="I198">
        <v>20</v>
      </c>
    </row>
    <row r="199" spans="1:9" x14ac:dyDescent="0.3">
      <c r="A199" s="8">
        <v>43964</v>
      </c>
      <c r="B199" t="s">
        <v>13</v>
      </c>
      <c r="C199">
        <v>26464.5</v>
      </c>
      <c r="D199">
        <v>2373337.5</v>
      </c>
      <c r="E199">
        <v>19</v>
      </c>
      <c r="F199">
        <v>1625</v>
      </c>
      <c r="G199">
        <v>1444</v>
      </c>
      <c r="H199">
        <v>124912.5</v>
      </c>
      <c r="I199">
        <v>20</v>
      </c>
    </row>
    <row r="200" spans="1:9" x14ac:dyDescent="0.3">
      <c r="A200" s="8">
        <v>43967</v>
      </c>
      <c r="B200" t="s">
        <v>14</v>
      </c>
      <c r="C200">
        <v>321412.5</v>
      </c>
      <c r="D200">
        <v>32235864</v>
      </c>
      <c r="E200">
        <v>129</v>
      </c>
      <c r="F200">
        <v>17914</v>
      </c>
      <c r="G200">
        <v>16631</v>
      </c>
      <c r="H200">
        <v>249890.41860465117</v>
      </c>
      <c r="I200">
        <v>20</v>
      </c>
    </row>
    <row r="201" spans="1:9" x14ac:dyDescent="0.3">
      <c r="A201" s="8">
        <v>43968</v>
      </c>
      <c r="B201" t="s">
        <v>14</v>
      </c>
      <c r="C201">
        <v>269029.5</v>
      </c>
      <c r="D201">
        <v>26659930.5</v>
      </c>
      <c r="E201">
        <v>129</v>
      </c>
      <c r="F201">
        <v>15744</v>
      </c>
      <c r="G201">
        <v>14685</v>
      </c>
      <c r="H201">
        <v>206666.12790697673</v>
      </c>
      <c r="I201">
        <v>20</v>
      </c>
    </row>
    <row r="202" spans="1:9" x14ac:dyDescent="0.3">
      <c r="A202" s="8">
        <v>43963</v>
      </c>
      <c r="B202" t="s">
        <v>14</v>
      </c>
      <c r="C202">
        <v>281796</v>
      </c>
      <c r="D202">
        <v>29042520</v>
      </c>
      <c r="E202">
        <v>129</v>
      </c>
      <c r="F202">
        <v>16387</v>
      </c>
      <c r="G202">
        <v>15322</v>
      </c>
      <c r="H202">
        <v>225135.81395348837</v>
      </c>
      <c r="I202">
        <v>20</v>
      </c>
    </row>
    <row r="203" spans="1:9" x14ac:dyDescent="0.3">
      <c r="A203" s="8">
        <v>43964</v>
      </c>
      <c r="B203" t="s">
        <v>14</v>
      </c>
      <c r="C203">
        <v>258459</v>
      </c>
      <c r="D203">
        <v>26467453.5</v>
      </c>
      <c r="E203">
        <v>129</v>
      </c>
      <c r="F203">
        <v>15304</v>
      </c>
      <c r="G203">
        <v>14315</v>
      </c>
      <c r="H203">
        <v>205174.05813953487</v>
      </c>
      <c r="I203">
        <v>20</v>
      </c>
    </row>
    <row r="204" spans="1:9" x14ac:dyDescent="0.3">
      <c r="A204" s="8">
        <v>43967</v>
      </c>
      <c r="B204" t="s">
        <v>15</v>
      </c>
      <c r="C204">
        <v>408810</v>
      </c>
      <c r="D204">
        <v>42323631</v>
      </c>
      <c r="E204">
        <v>125</v>
      </c>
      <c r="F204">
        <v>22291</v>
      </c>
      <c r="G204">
        <v>20635</v>
      </c>
      <c r="H204">
        <v>338589.04800000001</v>
      </c>
      <c r="I204">
        <v>20</v>
      </c>
    </row>
    <row r="205" spans="1:9" x14ac:dyDescent="0.3">
      <c r="A205" s="8">
        <v>43968</v>
      </c>
      <c r="B205" t="s">
        <v>15</v>
      </c>
      <c r="C205">
        <v>357072</v>
      </c>
      <c r="D205">
        <v>36834567</v>
      </c>
      <c r="E205">
        <v>125</v>
      </c>
      <c r="F205">
        <v>20079</v>
      </c>
      <c r="G205">
        <v>18721</v>
      </c>
      <c r="H205">
        <v>294676.53600000002</v>
      </c>
      <c r="I205">
        <v>20</v>
      </c>
    </row>
    <row r="206" spans="1:9" x14ac:dyDescent="0.3">
      <c r="A206" s="8">
        <v>43963</v>
      </c>
      <c r="B206" t="s">
        <v>15</v>
      </c>
      <c r="C206">
        <v>373392</v>
      </c>
      <c r="D206">
        <v>39578577</v>
      </c>
      <c r="E206">
        <v>125</v>
      </c>
      <c r="F206">
        <v>21106</v>
      </c>
      <c r="G206">
        <v>19651</v>
      </c>
      <c r="H206">
        <v>316628.61599999998</v>
      </c>
      <c r="I206">
        <v>20</v>
      </c>
    </row>
    <row r="207" spans="1:9" x14ac:dyDescent="0.3">
      <c r="A207" s="8">
        <v>43964</v>
      </c>
      <c r="B207" t="s">
        <v>15</v>
      </c>
      <c r="C207">
        <v>350068.5</v>
      </c>
      <c r="D207">
        <v>37197115.5</v>
      </c>
      <c r="E207">
        <v>125</v>
      </c>
      <c r="F207">
        <v>19965</v>
      </c>
      <c r="G207">
        <v>18573</v>
      </c>
      <c r="H207">
        <v>297576.924</v>
      </c>
      <c r="I207">
        <v>20</v>
      </c>
    </row>
    <row r="208" spans="1:9" x14ac:dyDescent="0.3">
      <c r="A208" s="8">
        <v>43967</v>
      </c>
      <c r="B208" t="s">
        <v>16</v>
      </c>
      <c r="C208">
        <v>81331.5</v>
      </c>
      <c r="D208">
        <v>6652179</v>
      </c>
      <c r="E208">
        <v>36</v>
      </c>
      <c r="F208">
        <v>5286</v>
      </c>
      <c r="G208">
        <v>4867</v>
      </c>
      <c r="H208">
        <v>184782.75</v>
      </c>
      <c r="I208">
        <v>20</v>
      </c>
    </row>
    <row r="209" spans="1:9" x14ac:dyDescent="0.3">
      <c r="A209" s="8">
        <v>43968</v>
      </c>
      <c r="B209" t="s">
        <v>16</v>
      </c>
      <c r="C209">
        <v>72861</v>
      </c>
      <c r="D209">
        <v>5952802.5</v>
      </c>
      <c r="E209">
        <v>36</v>
      </c>
      <c r="F209">
        <v>4918</v>
      </c>
      <c r="G209">
        <v>4554</v>
      </c>
      <c r="H209">
        <v>165355.625</v>
      </c>
      <c r="I209">
        <v>20</v>
      </c>
    </row>
    <row r="210" spans="1:9" x14ac:dyDescent="0.3">
      <c r="A210" s="8">
        <v>43963</v>
      </c>
      <c r="B210" t="s">
        <v>16</v>
      </c>
      <c r="C210">
        <v>64390.5</v>
      </c>
      <c r="D210">
        <v>5523145.5</v>
      </c>
      <c r="E210">
        <v>36</v>
      </c>
      <c r="F210">
        <v>4418</v>
      </c>
      <c r="G210">
        <v>4088</v>
      </c>
      <c r="H210">
        <v>153420.70833333334</v>
      </c>
      <c r="I210">
        <v>20</v>
      </c>
    </row>
    <row r="211" spans="1:9" x14ac:dyDescent="0.3">
      <c r="A211" s="8">
        <v>43964</v>
      </c>
      <c r="B211" t="s">
        <v>16</v>
      </c>
      <c r="C211">
        <v>73062</v>
      </c>
      <c r="D211">
        <v>6333828</v>
      </c>
      <c r="E211">
        <v>36</v>
      </c>
      <c r="F211">
        <v>4967</v>
      </c>
      <c r="G211">
        <v>4583</v>
      </c>
      <c r="H211">
        <v>175939.66666666666</v>
      </c>
      <c r="I211">
        <v>20</v>
      </c>
    </row>
    <row r="212" spans="1:9" x14ac:dyDescent="0.3">
      <c r="A212" s="8">
        <v>43967</v>
      </c>
      <c r="B212" t="s">
        <v>17</v>
      </c>
      <c r="C212">
        <v>44560.5</v>
      </c>
      <c r="D212">
        <v>4025148</v>
      </c>
      <c r="E212">
        <v>21</v>
      </c>
      <c r="F212">
        <v>2427</v>
      </c>
      <c r="G212">
        <v>2213</v>
      </c>
      <c r="H212">
        <v>191673.71428571429</v>
      </c>
      <c r="I212">
        <v>20</v>
      </c>
    </row>
    <row r="213" spans="1:9" x14ac:dyDescent="0.3">
      <c r="A213" s="8">
        <v>43968</v>
      </c>
      <c r="B213" t="s">
        <v>17</v>
      </c>
      <c r="C213">
        <v>34830</v>
      </c>
      <c r="D213">
        <v>3191155.5</v>
      </c>
      <c r="E213">
        <v>21</v>
      </c>
      <c r="F213">
        <v>2054</v>
      </c>
      <c r="G213">
        <v>1883</v>
      </c>
      <c r="H213">
        <v>151959.78571428571</v>
      </c>
      <c r="I213">
        <v>20</v>
      </c>
    </row>
    <row r="214" spans="1:9" x14ac:dyDescent="0.3">
      <c r="A214" s="8">
        <v>43963</v>
      </c>
      <c r="B214" t="s">
        <v>17</v>
      </c>
      <c r="C214">
        <v>32419.5</v>
      </c>
      <c r="D214">
        <v>3080614.5</v>
      </c>
      <c r="E214" t="e">
        <v>#N/A</v>
      </c>
      <c r="F214" t="e">
        <v>#N/A</v>
      </c>
      <c r="G214" t="e">
        <v>#N/A</v>
      </c>
      <c r="H214" t="e">
        <v>#N/A</v>
      </c>
      <c r="I214">
        <v>20</v>
      </c>
    </row>
    <row r="215" spans="1:9" x14ac:dyDescent="0.3">
      <c r="A215" s="8">
        <v>43964</v>
      </c>
      <c r="B215" t="s">
        <v>17</v>
      </c>
      <c r="C215">
        <v>35535</v>
      </c>
      <c r="D215">
        <v>3288069</v>
      </c>
      <c r="E215">
        <v>21</v>
      </c>
      <c r="F215">
        <v>2061</v>
      </c>
      <c r="G215">
        <v>1876</v>
      </c>
      <c r="H215">
        <v>156574.71428571429</v>
      </c>
      <c r="I215">
        <v>20</v>
      </c>
    </row>
    <row r="216" spans="1:9" x14ac:dyDescent="0.3">
      <c r="A216" s="8">
        <v>43967</v>
      </c>
      <c r="B216" t="s">
        <v>18</v>
      </c>
      <c r="C216">
        <v>18600</v>
      </c>
      <c r="D216">
        <v>1601425.5</v>
      </c>
      <c r="E216">
        <v>15</v>
      </c>
      <c r="F216">
        <v>1111</v>
      </c>
      <c r="G216">
        <v>992</v>
      </c>
      <c r="H216">
        <v>106761.7</v>
      </c>
      <c r="I216">
        <v>20</v>
      </c>
    </row>
    <row r="217" spans="1:9" x14ac:dyDescent="0.3">
      <c r="A217" s="8">
        <v>43968</v>
      </c>
      <c r="B217" t="s">
        <v>18</v>
      </c>
      <c r="C217">
        <v>15609</v>
      </c>
      <c r="D217">
        <v>1377577.5</v>
      </c>
      <c r="E217">
        <v>15</v>
      </c>
      <c r="F217">
        <v>971</v>
      </c>
      <c r="G217">
        <v>856</v>
      </c>
      <c r="H217">
        <v>91838.5</v>
      </c>
      <c r="I217">
        <v>20</v>
      </c>
    </row>
    <row r="218" spans="1:9" x14ac:dyDescent="0.3">
      <c r="A218" s="8">
        <v>43963</v>
      </c>
      <c r="B218" t="s">
        <v>18</v>
      </c>
      <c r="C218">
        <v>12802.5</v>
      </c>
      <c r="D218">
        <v>1123830</v>
      </c>
      <c r="E218" t="e">
        <v>#N/A</v>
      </c>
      <c r="F218" t="e">
        <v>#N/A</v>
      </c>
      <c r="G218" t="e">
        <v>#N/A</v>
      </c>
      <c r="H218" t="e">
        <v>#N/A</v>
      </c>
      <c r="I218">
        <v>20</v>
      </c>
    </row>
    <row r="219" spans="1:9" x14ac:dyDescent="0.3">
      <c r="A219" s="8">
        <v>43964</v>
      </c>
      <c r="B219" t="s">
        <v>18</v>
      </c>
      <c r="C219">
        <v>14305.5</v>
      </c>
      <c r="D219">
        <v>1243507.5</v>
      </c>
      <c r="E219" t="e">
        <v>#N/A</v>
      </c>
      <c r="F219" t="e">
        <v>#N/A</v>
      </c>
      <c r="G219" t="e">
        <v>#N/A</v>
      </c>
      <c r="H219" t="e">
        <v>#N/A</v>
      </c>
      <c r="I219">
        <v>20</v>
      </c>
    </row>
    <row r="220" spans="1:9" x14ac:dyDescent="0.3">
      <c r="A220" s="8">
        <v>43967</v>
      </c>
      <c r="B220" t="s">
        <v>19</v>
      </c>
      <c r="C220">
        <v>13120.5</v>
      </c>
      <c r="D220">
        <v>1215033</v>
      </c>
      <c r="E220">
        <v>15</v>
      </c>
      <c r="F220">
        <v>747</v>
      </c>
      <c r="G220">
        <v>647</v>
      </c>
      <c r="H220">
        <v>81002.2</v>
      </c>
      <c r="I220">
        <v>20</v>
      </c>
    </row>
    <row r="221" spans="1:9" x14ac:dyDescent="0.3">
      <c r="A221" s="8">
        <v>43968</v>
      </c>
      <c r="B221" t="s">
        <v>19</v>
      </c>
      <c r="C221">
        <v>11967</v>
      </c>
      <c r="D221">
        <v>1060489.5</v>
      </c>
      <c r="E221">
        <v>15</v>
      </c>
      <c r="F221">
        <v>692</v>
      </c>
      <c r="G221">
        <v>591</v>
      </c>
      <c r="H221">
        <v>70699.3</v>
      </c>
      <c r="I221">
        <v>20</v>
      </c>
    </row>
    <row r="222" spans="1:9" x14ac:dyDescent="0.3">
      <c r="A222" s="8">
        <v>43963</v>
      </c>
      <c r="B222" t="s">
        <v>19</v>
      </c>
      <c r="C222">
        <v>11296.5</v>
      </c>
      <c r="D222">
        <v>989632.5</v>
      </c>
      <c r="E222" t="e">
        <v>#N/A</v>
      </c>
      <c r="F222" t="e">
        <v>#N/A</v>
      </c>
      <c r="G222" t="e">
        <v>#N/A</v>
      </c>
      <c r="H222" t="e">
        <v>#N/A</v>
      </c>
      <c r="I222">
        <v>20</v>
      </c>
    </row>
    <row r="223" spans="1:9" x14ac:dyDescent="0.3">
      <c r="A223" s="8">
        <v>43964</v>
      </c>
      <c r="B223" t="s">
        <v>19</v>
      </c>
      <c r="C223">
        <v>10401</v>
      </c>
      <c r="D223">
        <v>949912.5</v>
      </c>
      <c r="E223" t="e">
        <v>#N/A</v>
      </c>
      <c r="F223" t="e">
        <v>#N/A</v>
      </c>
      <c r="G223" t="e">
        <v>#N/A</v>
      </c>
      <c r="H223" t="e">
        <v>#N/A</v>
      </c>
      <c r="I223">
        <v>20</v>
      </c>
    </row>
    <row r="224" spans="1:9" x14ac:dyDescent="0.3">
      <c r="A224" s="8">
        <v>43967</v>
      </c>
      <c r="B224" t="s">
        <v>20</v>
      </c>
      <c r="C224">
        <v>34563</v>
      </c>
      <c r="D224">
        <v>2922883.5</v>
      </c>
      <c r="E224" t="e">
        <v>#N/A</v>
      </c>
      <c r="F224" t="e">
        <v>#N/A</v>
      </c>
      <c r="G224" t="e">
        <v>#N/A</v>
      </c>
      <c r="H224" t="e">
        <v>#N/A</v>
      </c>
      <c r="I224">
        <v>20</v>
      </c>
    </row>
    <row r="225" spans="1:9" x14ac:dyDescent="0.3">
      <c r="A225" s="8">
        <v>43968</v>
      </c>
      <c r="B225" t="s">
        <v>20</v>
      </c>
      <c r="C225">
        <v>28275</v>
      </c>
      <c r="D225">
        <v>2435632.5</v>
      </c>
      <c r="E225" t="e">
        <v>#N/A</v>
      </c>
      <c r="F225" t="e">
        <v>#N/A</v>
      </c>
      <c r="G225" t="e">
        <v>#N/A</v>
      </c>
      <c r="H225" t="e">
        <v>#N/A</v>
      </c>
      <c r="I225">
        <v>20</v>
      </c>
    </row>
    <row r="226" spans="1:9" x14ac:dyDescent="0.3">
      <c r="A226" s="8">
        <v>43963</v>
      </c>
      <c r="B226" t="s">
        <v>20</v>
      </c>
      <c r="C226">
        <v>25483.5</v>
      </c>
      <c r="D226">
        <v>2243160</v>
      </c>
      <c r="E226" t="e">
        <v>#N/A</v>
      </c>
      <c r="F226" t="e">
        <v>#N/A</v>
      </c>
      <c r="G226" t="e">
        <v>#N/A</v>
      </c>
      <c r="H226" t="e">
        <v>#N/A</v>
      </c>
      <c r="I226">
        <v>20</v>
      </c>
    </row>
    <row r="227" spans="1:9" x14ac:dyDescent="0.3">
      <c r="A227" s="8">
        <v>43964</v>
      </c>
      <c r="B227" t="s">
        <v>20</v>
      </c>
      <c r="C227">
        <v>25539</v>
      </c>
      <c r="D227">
        <v>2263651.5</v>
      </c>
      <c r="E227" t="e">
        <v>#N/A</v>
      </c>
      <c r="F227" t="e">
        <v>#N/A</v>
      </c>
      <c r="G227" t="e">
        <v>#N/A</v>
      </c>
      <c r="H227" t="e">
        <v>#N/A</v>
      </c>
      <c r="I227">
        <v>20</v>
      </c>
    </row>
    <row r="228" spans="1:9" x14ac:dyDescent="0.3">
      <c r="A228" s="8">
        <v>43967</v>
      </c>
      <c r="B228" t="s">
        <v>21</v>
      </c>
      <c r="C228">
        <v>236551.5</v>
      </c>
      <c r="D228">
        <v>23689383</v>
      </c>
      <c r="E228" t="e">
        <v>#N/A</v>
      </c>
      <c r="F228" t="e">
        <v>#N/A</v>
      </c>
      <c r="G228" t="e">
        <v>#N/A</v>
      </c>
      <c r="H228" t="e">
        <v>#N/A</v>
      </c>
      <c r="I228">
        <v>20</v>
      </c>
    </row>
    <row r="229" spans="1:9" x14ac:dyDescent="0.3">
      <c r="A229" s="8">
        <v>43968</v>
      </c>
      <c r="B229" t="s">
        <v>21</v>
      </c>
      <c r="C229">
        <v>193363.5</v>
      </c>
      <c r="D229">
        <v>19546386</v>
      </c>
      <c r="E229" t="e">
        <v>#N/A</v>
      </c>
      <c r="F229" t="e">
        <v>#N/A</v>
      </c>
      <c r="G229" t="e">
        <v>#N/A</v>
      </c>
      <c r="H229" t="e">
        <v>#N/A</v>
      </c>
      <c r="I229">
        <v>20</v>
      </c>
    </row>
    <row r="230" spans="1:9" x14ac:dyDescent="0.3">
      <c r="A230" s="8">
        <v>43963</v>
      </c>
      <c r="B230" t="s">
        <v>21</v>
      </c>
      <c r="C230">
        <v>192886.5</v>
      </c>
      <c r="D230">
        <v>19205179.5</v>
      </c>
      <c r="E230" t="e">
        <v>#N/A</v>
      </c>
      <c r="F230" t="e">
        <v>#N/A</v>
      </c>
      <c r="G230" t="e">
        <v>#N/A</v>
      </c>
      <c r="H230" t="e">
        <v>#N/A</v>
      </c>
      <c r="I230">
        <v>20</v>
      </c>
    </row>
    <row r="231" spans="1:9" x14ac:dyDescent="0.3">
      <c r="A231" s="8">
        <v>43964</v>
      </c>
      <c r="B231" t="s">
        <v>21</v>
      </c>
      <c r="C231">
        <v>193722</v>
      </c>
      <c r="D231">
        <v>19437273</v>
      </c>
      <c r="E231" t="e">
        <v>#N/A</v>
      </c>
      <c r="F231" t="e">
        <v>#N/A</v>
      </c>
      <c r="G231" t="e">
        <v>#N/A</v>
      </c>
      <c r="H231" t="e">
        <v>#N/A</v>
      </c>
      <c r="I231">
        <v>20</v>
      </c>
    </row>
    <row r="232" spans="1:9" x14ac:dyDescent="0.3">
      <c r="A232" s="8">
        <v>43967</v>
      </c>
      <c r="B232" t="s">
        <v>22</v>
      </c>
      <c r="C232">
        <v>225480</v>
      </c>
      <c r="D232">
        <v>22355338.5</v>
      </c>
      <c r="E232" t="e">
        <v>#N/A</v>
      </c>
      <c r="F232" t="e">
        <v>#N/A</v>
      </c>
      <c r="G232" t="e">
        <v>#N/A</v>
      </c>
      <c r="H232" t="e">
        <v>#N/A</v>
      </c>
      <c r="I232">
        <v>20</v>
      </c>
    </row>
    <row r="233" spans="1:9" x14ac:dyDescent="0.3">
      <c r="A233" s="8">
        <v>43968</v>
      </c>
      <c r="B233" t="s">
        <v>22</v>
      </c>
      <c r="C233">
        <v>184801.5</v>
      </c>
      <c r="D233">
        <v>18449091</v>
      </c>
      <c r="E233" t="e">
        <v>#N/A</v>
      </c>
      <c r="F233" t="e">
        <v>#N/A</v>
      </c>
      <c r="G233" t="e">
        <v>#N/A</v>
      </c>
      <c r="H233" t="e">
        <v>#N/A</v>
      </c>
      <c r="I233">
        <v>20</v>
      </c>
    </row>
    <row r="234" spans="1:9" x14ac:dyDescent="0.3">
      <c r="A234" s="8">
        <v>43963</v>
      </c>
      <c r="B234" t="s">
        <v>22</v>
      </c>
      <c r="C234">
        <v>189679.5</v>
      </c>
      <c r="D234">
        <v>18718036.5</v>
      </c>
      <c r="E234" t="e">
        <v>#N/A</v>
      </c>
      <c r="F234" t="e">
        <v>#N/A</v>
      </c>
      <c r="G234" t="e">
        <v>#N/A</v>
      </c>
      <c r="H234" t="e">
        <v>#N/A</v>
      </c>
      <c r="I234">
        <v>20</v>
      </c>
    </row>
    <row r="235" spans="1:9" x14ac:dyDescent="0.3">
      <c r="A235" s="8">
        <v>43964</v>
      </c>
      <c r="B235" t="s">
        <v>22</v>
      </c>
      <c r="C235">
        <v>188662.5</v>
      </c>
      <c r="D235">
        <v>18784000.5</v>
      </c>
      <c r="E235" t="e">
        <v>#N/A</v>
      </c>
      <c r="F235" t="e">
        <v>#N/A</v>
      </c>
      <c r="G235" t="e">
        <v>#N/A</v>
      </c>
      <c r="H235" t="e">
        <v>#N/A</v>
      </c>
      <c r="I235">
        <v>20</v>
      </c>
    </row>
    <row r="236" spans="1:9" x14ac:dyDescent="0.3">
      <c r="A236" s="8">
        <v>43967</v>
      </c>
      <c r="B236" t="s">
        <v>23</v>
      </c>
      <c r="C236">
        <v>16368</v>
      </c>
      <c r="D236">
        <v>1316350.5</v>
      </c>
      <c r="E236" t="e">
        <v>#N/A</v>
      </c>
      <c r="F236" t="e">
        <v>#N/A</v>
      </c>
      <c r="G236" t="e">
        <v>#N/A</v>
      </c>
      <c r="H236" t="e">
        <v>#N/A</v>
      </c>
      <c r="I236">
        <v>20</v>
      </c>
    </row>
    <row r="237" spans="1:9" x14ac:dyDescent="0.3">
      <c r="A237" s="8">
        <v>43968</v>
      </c>
      <c r="B237" t="s">
        <v>23</v>
      </c>
      <c r="C237">
        <v>13440</v>
      </c>
      <c r="D237">
        <v>1157529</v>
      </c>
      <c r="E237" t="e">
        <v>#N/A</v>
      </c>
      <c r="F237" t="e">
        <v>#N/A</v>
      </c>
      <c r="G237" t="e">
        <v>#N/A</v>
      </c>
      <c r="H237" t="e">
        <v>#N/A</v>
      </c>
      <c r="I237">
        <v>20</v>
      </c>
    </row>
    <row r="238" spans="1:9" x14ac:dyDescent="0.3">
      <c r="A238" s="8">
        <v>43963</v>
      </c>
      <c r="B238" t="s">
        <v>23</v>
      </c>
      <c r="C238">
        <v>13443</v>
      </c>
      <c r="D238">
        <v>1092277.5</v>
      </c>
      <c r="E238" t="e">
        <v>#N/A</v>
      </c>
      <c r="F238" t="e">
        <v>#N/A</v>
      </c>
      <c r="G238" t="e">
        <v>#N/A</v>
      </c>
      <c r="H238" t="e">
        <v>#N/A</v>
      </c>
      <c r="I238">
        <v>20</v>
      </c>
    </row>
    <row r="239" spans="1:9" x14ac:dyDescent="0.3">
      <c r="A239" s="8">
        <v>43964</v>
      </c>
      <c r="B239" t="s">
        <v>23</v>
      </c>
      <c r="C239">
        <v>14643</v>
      </c>
      <c r="D239">
        <v>1172691</v>
      </c>
      <c r="E239" t="e">
        <v>#N/A</v>
      </c>
      <c r="F239" t="e">
        <v>#N/A</v>
      </c>
      <c r="G239" t="e">
        <v>#N/A</v>
      </c>
      <c r="H239" t="e">
        <v>#N/A</v>
      </c>
      <c r="I239">
        <v>20</v>
      </c>
    </row>
    <row r="240" spans="1:9" x14ac:dyDescent="0.3">
      <c r="A240" s="8">
        <v>43962</v>
      </c>
      <c r="B240" t="s">
        <v>10</v>
      </c>
      <c r="C240">
        <v>27187.5</v>
      </c>
      <c r="D240">
        <v>2479396.5</v>
      </c>
      <c r="E240" t="e">
        <v>#N/A</v>
      </c>
      <c r="F240" t="e">
        <v>#N/A</v>
      </c>
      <c r="G240" t="e">
        <v>#N/A</v>
      </c>
      <c r="H240" t="e">
        <v>#N/A</v>
      </c>
      <c r="I240">
        <v>20</v>
      </c>
    </row>
    <row r="241" spans="1:9" x14ac:dyDescent="0.3">
      <c r="A241" s="8">
        <v>43965</v>
      </c>
      <c r="B241" t="s">
        <v>10</v>
      </c>
      <c r="C241">
        <v>29658</v>
      </c>
      <c r="D241">
        <v>2703132</v>
      </c>
      <c r="E241" t="e">
        <v>#N/A</v>
      </c>
      <c r="F241" t="e">
        <v>#N/A</v>
      </c>
      <c r="G241" t="e">
        <v>#N/A</v>
      </c>
      <c r="H241" t="e">
        <v>#N/A</v>
      </c>
      <c r="I241">
        <v>20</v>
      </c>
    </row>
    <row r="242" spans="1:9" x14ac:dyDescent="0.3">
      <c r="A242" s="8">
        <v>43966</v>
      </c>
      <c r="B242" t="s">
        <v>10</v>
      </c>
      <c r="C242">
        <v>34150.5</v>
      </c>
      <c r="D242">
        <v>3038293.5</v>
      </c>
      <c r="E242" t="e">
        <v>#N/A</v>
      </c>
      <c r="F242" t="e">
        <v>#N/A</v>
      </c>
      <c r="G242" t="e">
        <v>#N/A</v>
      </c>
      <c r="H242" t="e">
        <v>#N/A</v>
      </c>
      <c r="I242">
        <v>20</v>
      </c>
    </row>
    <row r="243" spans="1:9" x14ac:dyDescent="0.3">
      <c r="A243" s="8">
        <v>43962</v>
      </c>
      <c r="B243" t="s">
        <v>11</v>
      </c>
      <c r="C243">
        <v>72220.5</v>
      </c>
      <c r="D243">
        <v>6398719.5</v>
      </c>
      <c r="E243" t="e">
        <v>#N/A</v>
      </c>
      <c r="F243" t="e">
        <v>#N/A</v>
      </c>
      <c r="G243" t="e">
        <v>#N/A</v>
      </c>
      <c r="H243" t="e">
        <v>#N/A</v>
      </c>
      <c r="I243">
        <v>20</v>
      </c>
    </row>
    <row r="244" spans="1:9" x14ac:dyDescent="0.3">
      <c r="A244" s="8">
        <v>43965</v>
      </c>
      <c r="B244" t="s">
        <v>11</v>
      </c>
      <c r="C244">
        <v>70498.5</v>
      </c>
      <c r="D244">
        <v>6053649</v>
      </c>
      <c r="E244" t="e">
        <v>#N/A</v>
      </c>
      <c r="F244" t="e">
        <v>#N/A</v>
      </c>
      <c r="G244" t="e">
        <v>#N/A</v>
      </c>
      <c r="H244" t="e">
        <v>#N/A</v>
      </c>
      <c r="I244">
        <v>20</v>
      </c>
    </row>
    <row r="245" spans="1:9" x14ac:dyDescent="0.3">
      <c r="A245" s="8">
        <v>43966</v>
      </c>
      <c r="B245" t="s">
        <v>11</v>
      </c>
      <c r="C245">
        <v>78961.5</v>
      </c>
      <c r="D245">
        <v>6876454.5</v>
      </c>
      <c r="E245" t="e">
        <v>#N/A</v>
      </c>
      <c r="F245" t="e">
        <v>#N/A</v>
      </c>
      <c r="G245" t="e">
        <v>#N/A</v>
      </c>
      <c r="H245" t="e">
        <v>#N/A</v>
      </c>
      <c r="I245">
        <v>20</v>
      </c>
    </row>
    <row r="246" spans="1:9" x14ac:dyDescent="0.3">
      <c r="A246" s="8">
        <v>43962</v>
      </c>
      <c r="B246" t="s">
        <v>12</v>
      </c>
      <c r="C246">
        <v>9007.5</v>
      </c>
      <c r="D246">
        <v>734335.5</v>
      </c>
      <c r="E246" t="e">
        <v>#N/A</v>
      </c>
      <c r="F246" t="e">
        <v>#N/A</v>
      </c>
      <c r="G246" t="e">
        <v>#N/A</v>
      </c>
      <c r="H246" t="e">
        <v>#N/A</v>
      </c>
      <c r="I246">
        <v>20</v>
      </c>
    </row>
    <row r="247" spans="1:9" x14ac:dyDescent="0.3">
      <c r="A247" s="8">
        <v>43965</v>
      </c>
      <c r="B247" t="s">
        <v>12</v>
      </c>
      <c r="C247">
        <v>12037.5</v>
      </c>
      <c r="D247">
        <v>981564</v>
      </c>
      <c r="E247" t="e">
        <v>#N/A</v>
      </c>
      <c r="F247" t="e">
        <v>#N/A</v>
      </c>
      <c r="G247" t="e">
        <v>#N/A</v>
      </c>
      <c r="H247" t="e">
        <v>#N/A</v>
      </c>
      <c r="I247">
        <v>20</v>
      </c>
    </row>
    <row r="248" spans="1:9" x14ac:dyDescent="0.3">
      <c r="A248" s="8">
        <v>43966</v>
      </c>
      <c r="B248" t="s">
        <v>12</v>
      </c>
      <c r="C248">
        <v>14421</v>
      </c>
      <c r="D248">
        <v>1150579.5</v>
      </c>
      <c r="E248" t="e">
        <v>#N/A</v>
      </c>
      <c r="F248" t="e">
        <v>#N/A</v>
      </c>
      <c r="G248" t="e">
        <v>#N/A</v>
      </c>
      <c r="H248" t="e">
        <v>#N/A</v>
      </c>
      <c r="I248">
        <v>20</v>
      </c>
    </row>
    <row r="249" spans="1:9" x14ac:dyDescent="0.3">
      <c r="A249" s="8">
        <v>43962</v>
      </c>
      <c r="B249" t="s">
        <v>13</v>
      </c>
      <c r="C249">
        <v>42397.5</v>
      </c>
      <c r="D249">
        <v>3911979</v>
      </c>
      <c r="E249" t="e">
        <v>#N/A</v>
      </c>
      <c r="F249" t="e">
        <v>#N/A</v>
      </c>
      <c r="G249" t="e">
        <v>#N/A</v>
      </c>
      <c r="H249" t="e">
        <v>#N/A</v>
      </c>
      <c r="I249">
        <v>20</v>
      </c>
    </row>
    <row r="250" spans="1:9" x14ac:dyDescent="0.3">
      <c r="A250" s="8">
        <v>43965</v>
      </c>
      <c r="B250" t="s">
        <v>13</v>
      </c>
      <c r="C250">
        <v>27411</v>
      </c>
      <c r="D250">
        <v>2441520</v>
      </c>
      <c r="E250" t="e">
        <v>#N/A</v>
      </c>
      <c r="F250" t="e">
        <v>#N/A</v>
      </c>
      <c r="G250" t="e">
        <v>#N/A</v>
      </c>
      <c r="H250" t="e">
        <v>#N/A</v>
      </c>
      <c r="I250">
        <v>20</v>
      </c>
    </row>
    <row r="251" spans="1:9" x14ac:dyDescent="0.3">
      <c r="A251" s="8">
        <v>43966</v>
      </c>
      <c r="B251" t="s">
        <v>13</v>
      </c>
      <c r="C251">
        <v>32854.5</v>
      </c>
      <c r="D251">
        <v>2949078</v>
      </c>
      <c r="E251" t="e">
        <v>#N/A</v>
      </c>
      <c r="F251" t="e">
        <v>#N/A</v>
      </c>
      <c r="G251" t="e">
        <v>#N/A</v>
      </c>
      <c r="H251" t="e">
        <v>#N/A</v>
      </c>
      <c r="I251">
        <v>20</v>
      </c>
    </row>
    <row r="252" spans="1:9" x14ac:dyDescent="0.3">
      <c r="A252" s="8">
        <v>43962</v>
      </c>
      <c r="B252" t="s">
        <v>14</v>
      </c>
      <c r="C252">
        <v>237099</v>
      </c>
      <c r="D252">
        <v>24628233.223949999</v>
      </c>
      <c r="E252" t="e">
        <v>#N/A</v>
      </c>
      <c r="F252" t="e">
        <v>#N/A</v>
      </c>
      <c r="G252" t="e">
        <v>#N/A</v>
      </c>
      <c r="H252" t="e">
        <v>#N/A</v>
      </c>
      <c r="I252">
        <v>20</v>
      </c>
    </row>
    <row r="253" spans="1:9" x14ac:dyDescent="0.3">
      <c r="A253" s="8">
        <v>43965</v>
      </c>
      <c r="B253" t="s">
        <v>14</v>
      </c>
      <c r="C253">
        <v>274059</v>
      </c>
      <c r="D253">
        <v>28181292</v>
      </c>
      <c r="E253" t="e">
        <v>#N/A</v>
      </c>
      <c r="F253" t="e">
        <v>#N/A</v>
      </c>
      <c r="G253" t="e">
        <v>#N/A</v>
      </c>
      <c r="H253" t="e">
        <v>#N/A</v>
      </c>
      <c r="I253">
        <v>20</v>
      </c>
    </row>
    <row r="254" spans="1:9" x14ac:dyDescent="0.3">
      <c r="A254" s="8">
        <v>43966</v>
      </c>
      <c r="B254" t="s">
        <v>14</v>
      </c>
      <c r="C254">
        <v>318816</v>
      </c>
      <c r="D254">
        <v>32354331</v>
      </c>
      <c r="E254" t="e">
        <v>#N/A</v>
      </c>
      <c r="F254" t="e">
        <v>#N/A</v>
      </c>
      <c r="G254" t="e">
        <v>#N/A</v>
      </c>
      <c r="H254" t="e">
        <v>#N/A</v>
      </c>
      <c r="I254">
        <v>20</v>
      </c>
    </row>
    <row r="255" spans="1:9" x14ac:dyDescent="0.3">
      <c r="A255" s="8">
        <v>43962</v>
      </c>
      <c r="B255" t="s">
        <v>15</v>
      </c>
      <c r="C255">
        <v>318565.5</v>
      </c>
      <c r="D255">
        <v>33781581</v>
      </c>
      <c r="E255" t="e">
        <v>#N/A</v>
      </c>
      <c r="F255" t="e">
        <v>#N/A</v>
      </c>
      <c r="G255" t="e">
        <v>#N/A</v>
      </c>
      <c r="H255" t="e">
        <v>#N/A</v>
      </c>
      <c r="I255">
        <v>20</v>
      </c>
    </row>
    <row r="256" spans="1:9" x14ac:dyDescent="0.3">
      <c r="A256" s="8">
        <v>43965</v>
      </c>
      <c r="B256" t="s">
        <v>15</v>
      </c>
      <c r="C256">
        <v>358387.5</v>
      </c>
      <c r="D256">
        <v>37963150.5</v>
      </c>
      <c r="E256" t="e">
        <v>#N/A</v>
      </c>
      <c r="F256" t="e">
        <v>#N/A</v>
      </c>
      <c r="G256" t="e">
        <v>#N/A</v>
      </c>
      <c r="H256" t="e">
        <v>#N/A</v>
      </c>
      <c r="I256">
        <v>20</v>
      </c>
    </row>
    <row r="257" spans="1:9" x14ac:dyDescent="0.3">
      <c r="A257" s="8">
        <v>43966</v>
      </c>
      <c r="B257" t="s">
        <v>15</v>
      </c>
      <c r="C257">
        <v>403261.5</v>
      </c>
      <c r="D257">
        <v>42271377</v>
      </c>
      <c r="E257" t="e">
        <v>#N/A</v>
      </c>
      <c r="F257" t="e">
        <v>#N/A</v>
      </c>
      <c r="G257" t="e">
        <v>#N/A</v>
      </c>
      <c r="H257" t="e">
        <v>#N/A</v>
      </c>
      <c r="I257">
        <v>20</v>
      </c>
    </row>
    <row r="258" spans="1:9" x14ac:dyDescent="0.3">
      <c r="A258" s="8">
        <v>43962</v>
      </c>
      <c r="B258" t="s">
        <v>16</v>
      </c>
      <c r="C258">
        <v>59574</v>
      </c>
      <c r="D258">
        <v>5178169.5</v>
      </c>
      <c r="E258" t="e">
        <v>#N/A</v>
      </c>
      <c r="F258" t="e">
        <v>#N/A</v>
      </c>
      <c r="G258" t="e">
        <v>#N/A</v>
      </c>
      <c r="H258" t="e">
        <v>#N/A</v>
      </c>
      <c r="I258">
        <v>20</v>
      </c>
    </row>
    <row r="259" spans="1:9" x14ac:dyDescent="0.3">
      <c r="A259" s="8">
        <v>43965</v>
      </c>
      <c r="B259" t="s">
        <v>16</v>
      </c>
      <c r="C259">
        <v>63645</v>
      </c>
      <c r="D259">
        <v>5366602.5</v>
      </c>
      <c r="E259" t="e">
        <v>#N/A</v>
      </c>
      <c r="F259" t="e">
        <v>#N/A</v>
      </c>
      <c r="G259" t="e">
        <v>#N/A</v>
      </c>
      <c r="H259" t="e">
        <v>#N/A</v>
      </c>
      <c r="I259">
        <v>20</v>
      </c>
    </row>
    <row r="260" spans="1:9" x14ac:dyDescent="0.3">
      <c r="A260" s="8">
        <v>43966</v>
      </c>
      <c r="B260" t="s">
        <v>16</v>
      </c>
      <c r="C260">
        <v>75642</v>
      </c>
      <c r="D260">
        <v>6293952</v>
      </c>
      <c r="E260" t="e">
        <v>#N/A</v>
      </c>
      <c r="F260" t="e">
        <v>#N/A</v>
      </c>
      <c r="G260" t="e">
        <v>#N/A</v>
      </c>
      <c r="H260" t="e">
        <v>#N/A</v>
      </c>
      <c r="I260">
        <v>20</v>
      </c>
    </row>
    <row r="261" spans="1:9" x14ac:dyDescent="0.3">
      <c r="A261" s="8">
        <v>43962</v>
      </c>
      <c r="B261" t="s">
        <v>17</v>
      </c>
      <c r="C261">
        <v>32733</v>
      </c>
      <c r="D261">
        <v>3079630.5</v>
      </c>
      <c r="E261" t="e">
        <v>#N/A</v>
      </c>
      <c r="F261" t="e">
        <v>#N/A</v>
      </c>
      <c r="G261" t="e">
        <v>#N/A</v>
      </c>
      <c r="H261" t="e">
        <v>#N/A</v>
      </c>
      <c r="I261">
        <v>20</v>
      </c>
    </row>
    <row r="262" spans="1:9" x14ac:dyDescent="0.3">
      <c r="A262" s="8">
        <v>43965</v>
      </c>
      <c r="B262" t="s">
        <v>17</v>
      </c>
      <c r="C262">
        <v>33886.5</v>
      </c>
      <c r="D262">
        <v>3166479</v>
      </c>
      <c r="E262" t="e">
        <v>#N/A</v>
      </c>
      <c r="F262" t="e">
        <v>#N/A</v>
      </c>
      <c r="G262" t="e">
        <v>#N/A</v>
      </c>
      <c r="H262" t="e">
        <v>#N/A</v>
      </c>
      <c r="I262">
        <v>20</v>
      </c>
    </row>
    <row r="263" spans="1:9" x14ac:dyDescent="0.3">
      <c r="A263" s="8">
        <v>43966</v>
      </c>
      <c r="B263" t="s">
        <v>17</v>
      </c>
      <c r="C263">
        <v>41697</v>
      </c>
      <c r="D263">
        <v>3772258.5</v>
      </c>
      <c r="E263" t="e">
        <v>#N/A</v>
      </c>
      <c r="F263" t="e">
        <v>#N/A</v>
      </c>
      <c r="G263" t="e">
        <v>#N/A</v>
      </c>
      <c r="H263" t="e">
        <v>#N/A</v>
      </c>
      <c r="I263">
        <v>20</v>
      </c>
    </row>
    <row r="264" spans="1:9" x14ac:dyDescent="0.3">
      <c r="A264" s="8">
        <v>43962</v>
      </c>
      <c r="B264" t="s">
        <v>18</v>
      </c>
      <c r="C264">
        <v>12238.5</v>
      </c>
      <c r="D264">
        <v>1096002</v>
      </c>
      <c r="E264" t="e">
        <v>#N/A</v>
      </c>
      <c r="F264" t="e">
        <v>#N/A</v>
      </c>
      <c r="G264" t="e">
        <v>#N/A</v>
      </c>
      <c r="H264" t="e">
        <v>#N/A</v>
      </c>
      <c r="I264">
        <v>20</v>
      </c>
    </row>
    <row r="265" spans="1:9" x14ac:dyDescent="0.3">
      <c r="A265" s="8">
        <v>43965</v>
      </c>
      <c r="B265" t="s">
        <v>18</v>
      </c>
      <c r="C265">
        <v>14385</v>
      </c>
      <c r="D265">
        <v>1223491.5</v>
      </c>
      <c r="E265" t="e">
        <v>#N/A</v>
      </c>
      <c r="F265" t="e">
        <v>#N/A</v>
      </c>
      <c r="G265" t="e">
        <v>#N/A</v>
      </c>
      <c r="H265" t="e">
        <v>#N/A</v>
      </c>
      <c r="I265">
        <v>20</v>
      </c>
    </row>
    <row r="266" spans="1:9" x14ac:dyDescent="0.3">
      <c r="A266" s="8">
        <v>43966</v>
      </c>
      <c r="B266" t="s">
        <v>18</v>
      </c>
      <c r="C266">
        <v>16498.5</v>
      </c>
      <c r="D266">
        <v>1370482.5</v>
      </c>
      <c r="E266" t="e">
        <v>#N/A</v>
      </c>
      <c r="F266" t="e">
        <v>#N/A</v>
      </c>
      <c r="G266" t="e">
        <v>#N/A</v>
      </c>
      <c r="H266" t="e">
        <v>#N/A</v>
      </c>
      <c r="I266">
        <v>20</v>
      </c>
    </row>
    <row r="267" spans="1:9" x14ac:dyDescent="0.3">
      <c r="A267" s="8">
        <v>43962</v>
      </c>
      <c r="B267" t="s">
        <v>19</v>
      </c>
      <c r="C267">
        <v>12654</v>
      </c>
      <c r="D267">
        <v>1081158</v>
      </c>
      <c r="E267" t="e">
        <v>#N/A</v>
      </c>
      <c r="F267" t="e">
        <v>#N/A</v>
      </c>
      <c r="G267" t="e">
        <v>#N/A</v>
      </c>
      <c r="H267" t="e">
        <v>#N/A</v>
      </c>
      <c r="I267">
        <v>20</v>
      </c>
    </row>
    <row r="268" spans="1:9" x14ac:dyDescent="0.3">
      <c r="A268" s="8">
        <v>43965</v>
      </c>
      <c r="B268" t="s">
        <v>19</v>
      </c>
      <c r="C268">
        <v>11161.5</v>
      </c>
      <c r="D268">
        <v>963502.5</v>
      </c>
      <c r="E268" t="e">
        <v>#N/A</v>
      </c>
      <c r="F268" t="e">
        <v>#N/A</v>
      </c>
      <c r="G268" t="e">
        <v>#N/A</v>
      </c>
      <c r="H268" t="e">
        <v>#N/A</v>
      </c>
      <c r="I268">
        <v>20</v>
      </c>
    </row>
    <row r="269" spans="1:9" x14ac:dyDescent="0.3">
      <c r="A269" s="8">
        <v>43966</v>
      </c>
      <c r="B269" t="s">
        <v>19</v>
      </c>
      <c r="C269">
        <v>12229.5</v>
      </c>
      <c r="D269">
        <v>1122730.5</v>
      </c>
      <c r="E269" t="e">
        <v>#N/A</v>
      </c>
      <c r="F269" t="e">
        <v>#N/A</v>
      </c>
      <c r="G269" t="e">
        <v>#N/A</v>
      </c>
      <c r="H269" t="e">
        <v>#N/A</v>
      </c>
      <c r="I269">
        <v>20</v>
      </c>
    </row>
    <row r="270" spans="1:9" x14ac:dyDescent="0.3">
      <c r="A270" s="8">
        <v>43962</v>
      </c>
      <c r="B270" t="s">
        <v>20</v>
      </c>
      <c r="C270">
        <v>23629.5</v>
      </c>
      <c r="D270">
        <v>2164365</v>
      </c>
      <c r="E270" t="e">
        <v>#N/A</v>
      </c>
      <c r="F270" t="e">
        <v>#N/A</v>
      </c>
      <c r="G270" t="e">
        <v>#N/A</v>
      </c>
      <c r="H270" t="e">
        <v>#N/A</v>
      </c>
      <c r="I270">
        <v>20</v>
      </c>
    </row>
    <row r="271" spans="1:9" x14ac:dyDescent="0.3">
      <c r="A271" s="8">
        <v>43965</v>
      </c>
      <c r="B271" t="s">
        <v>20</v>
      </c>
      <c r="C271">
        <v>25656</v>
      </c>
      <c r="D271">
        <v>2225341.5</v>
      </c>
      <c r="E271" t="e">
        <v>#N/A</v>
      </c>
      <c r="F271" t="e">
        <v>#N/A</v>
      </c>
      <c r="G271" t="e">
        <v>#N/A</v>
      </c>
      <c r="H271" t="e">
        <v>#N/A</v>
      </c>
      <c r="I271">
        <v>20</v>
      </c>
    </row>
    <row r="272" spans="1:9" x14ac:dyDescent="0.3">
      <c r="A272" s="8">
        <v>43966</v>
      </c>
      <c r="B272" t="s">
        <v>20</v>
      </c>
      <c r="C272">
        <v>29283</v>
      </c>
      <c r="D272">
        <v>2477487</v>
      </c>
      <c r="E272" t="e">
        <v>#N/A</v>
      </c>
      <c r="F272" t="e">
        <v>#N/A</v>
      </c>
      <c r="G272" t="e">
        <v>#N/A</v>
      </c>
      <c r="H272" t="e">
        <v>#N/A</v>
      </c>
      <c r="I272">
        <v>20</v>
      </c>
    </row>
    <row r="273" spans="1:9" x14ac:dyDescent="0.3">
      <c r="A273" s="8">
        <v>43962</v>
      </c>
      <c r="B273" t="s">
        <v>21</v>
      </c>
      <c r="C273">
        <v>175293</v>
      </c>
      <c r="D273">
        <v>17919144</v>
      </c>
      <c r="E273" t="e">
        <v>#N/A</v>
      </c>
      <c r="F273" t="e">
        <v>#N/A</v>
      </c>
      <c r="G273" t="e">
        <v>#N/A</v>
      </c>
      <c r="H273" t="e">
        <v>#N/A</v>
      </c>
      <c r="I273">
        <v>20</v>
      </c>
    </row>
    <row r="274" spans="1:9" x14ac:dyDescent="0.3">
      <c r="A274" s="8">
        <v>43965</v>
      </c>
      <c r="B274" t="s">
        <v>21</v>
      </c>
      <c r="C274">
        <v>197946</v>
      </c>
      <c r="D274">
        <v>19942435.5</v>
      </c>
      <c r="E274" t="e">
        <v>#N/A</v>
      </c>
      <c r="F274" t="e">
        <v>#N/A</v>
      </c>
      <c r="G274" t="e">
        <v>#N/A</v>
      </c>
      <c r="H274" t="e">
        <v>#N/A</v>
      </c>
      <c r="I274">
        <v>20</v>
      </c>
    </row>
    <row r="275" spans="1:9" x14ac:dyDescent="0.3">
      <c r="A275" s="8">
        <v>43966</v>
      </c>
      <c r="B275" t="s">
        <v>21</v>
      </c>
      <c r="C275">
        <v>230896.5</v>
      </c>
      <c r="D275">
        <v>23085222</v>
      </c>
      <c r="E275" t="e">
        <v>#N/A</v>
      </c>
      <c r="F275" t="e">
        <v>#N/A</v>
      </c>
      <c r="G275" t="e">
        <v>#N/A</v>
      </c>
      <c r="H275" t="e">
        <v>#N/A</v>
      </c>
      <c r="I275">
        <v>20</v>
      </c>
    </row>
    <row r="276" spans="1:9" x14ac:dyDescent="0.3">
      <c r="A276" s="8">
        <v>43962</v>
      </c>
      <c r="B276" t="s">
        <v>22</v>
      </c>
      <c r="C276">
        <v>166948.5</v>
      </c>
      <c r="D276">
        <v>16971231</v>
      </c>
      <c r="E276" t="e">
        <v>#N/A</v>
      </c>
      <c r="F276" t="e">
        <v>#N/A</v>
      </c>
      <c r="G276" t="e">
        <v>#N/A</v>
      </c>
      <c r="H276" t="e">
        <v>#N/A</v>
      </c>
      <c r="I276">
        <v>20</v>
      </c>
    </row>
    <row r="277" spans="1:9" x14ac:dyDescent="0.3">
      <c r="A277" s="8">
        <v>43965</v>
      </c>
      <c r="B277" t="s">
        <v>22</v>
      </c>
      <c r="C277">
        <v>186496.5</v>
      </c>
      <c r="D277">
        <v>18640998</v>
      </c>
      <c r="E277" t="e">
        <v>#N/A</v>
      </c>
      <c r="F277" t="e">
        <v>#N/A</v>
      </c>
      <c r="G277" t="e">
        <v>#N/A</v>
      </c>
      <c r="H277" t="e">
        <v>#N/A</v>
      </c>
      <c r="I277">
        <v>20</v>
      </c>
    </row>
    <row r="278" spans="1:9" x14ac:dyDescent="0.3">
      <c r="A278" s="8">
        <v>43966</v>
      </c>
      <c r="B278" t="s">
        <v>22</v>
      </c>
      <c r="C278">
        <v>219772.5</v>
      </c>
      <c r="D278">
        <v>21895294.5</v>
      </c>
      <c r="E278" t="e">
        <v>#N/A</v>
      </c>
      <c r="F278" t="e">
        <v>#N/A</v>
      </c>
      <c r="G278" t="e">
        <v>#N/A</v>
      </c>
      <c r="H278" t="e">
        <v>#N/A</v>
      </c>
      <c r="I278">
        <v>20</v>
      </c>
    </row>
    <row r="279" spans="1:9" x14ac:dyDescent="0.3">
      <c r="A279" s="8">
        <v>43962</v>
      </c>
      <c r="B279" t="s">
        <v>23</v>
      </c>
      <c r="C279">
        <v>10941</v>
      </c>
      <c r="D279">
        <v>880356</v>
      </c>
      <c r="E279" t="e">
        <v>#N/A</v>
      </c>
      <c r="F279" t="e">
        <v>#N/A</v>
      </c>
      <c r="G279" t="e">
        <v>#N/A</v>
      </c>
      <c r="H279" t="e">
        <v>#N/A</v>
      </c>
      <c r="I279">
        <v>20</v>
      </c>
    </row>
    <row r="280" spans="1:9" x14ac:dyDescent="0.3">
      <c r="A280" s="8">
        <v>43965</v>
      </c>
      <c r="B280" t="s">
        <v>23</v>
      </c>
      <c r="C280">
        <v>13810.5</v>
      </c>
      <c r="D280">
        <v>1131676.5</v>
      </c>
      <c r="E280" t="e">
        <v>#N/A</v>
      </c>
      <c r="F280" t="e">
        <v>#N/A</v>
      </c>
      <c r="G280" t="e">
        <v>#N/A</v>
      </c>
      <c r="H280" t="e">
        <v>#N/A</v>
      </c>
      <c r="I280">
        <v>20</v>
      </c>
    </row>
    <row r="281" spans="1:9" x14ac:dyDescent="0.3">
      <c r="A281" s="8">
        <v>43966</v>
      </c>
      <c r="B281" t="s">
        <v>23</v>
      </c>
      <c r="C281">
        <v>13752</v>
      </c>
      <c r="D281">
        <v>1091040</v>
      </c>
      <c r="E281" t="e">
        <v>#N/A</v>
      </c>
      <c r="F281" t="e">
        <v>#N/A</v>
      </c>
      <c r="G281" t="e">
        <v>#N/A</v>
      </c>
      <c r="H281" t="e">
        <v>#N/A</v>
      </c>
      <c r="I281">
        <v>20</v>
      </c>
    </row>
    <row r="282" spans="1:9" x14ac:dyDescent="0.3">
      <c r="A282" s="8">
        <v>43970</v>
      </c>
      <c r="B282" t="s">
        <v>10</v>
      </c>
      <c r="C282">
        <v>31842</v>
      </c>
      <c r="D282">
        <v>2771116.5</v>
      </c>
      <c r="E282">
        <v>21</v>
      </c>
      <c r="F282">
        <v>1860</v>
      </c>
      <c r="G282">
        <v>1704</v>
      </c>
      <c r="H282">
        <v>131957.92857142858</v>
      </c>
      <c r="I282">
        <v>21</v>
      </c>
    </row>
    <row r="283" spans="1:9" x14ac:dyDescent="0.3">
      <c r="A283" s="8">
        <v>43972</v>
      </c>
      <c r="B283" t="s">
        <v>10</v>
      </c>
      <c r="C283">
        <v>31272</v>
      </c>
      <c r="D283">
        <v>2744382</v>
      </c>
      <c r="E283">
        <v>21</v>
      </c>
      <c r="F283">
        <v>1787</v>
      </c>
      <c r="G283">
        <v>1626</v>
      </c>
      <c r="H283">
        <v>130684.85714285714</v>
      </c>
      <c r="I283">
        <v>21</v>
      </c>
    </row>
    <row r="284" spans="1:9" x14ac:dyDescent="0.3">
      <c r="A284" s="8">
        <v>43971</v>
      </c>
      <c r="B284" t="s">
        <v>10</v>
      </c>
      <c r="C284">
        <v>34077</v>
      </c>
      <c r="D284">
        <v>2929330.5</v>
      </c>
      <c r="E284">
        <v>21</v>
      </c>
      <c r="F284">
        <v>1921</v>
      </c>
      <c r="G284">
        <v>1767</v>
      </c>
      <c r="H284">
        <v>139491.92857142858</v>
      </c>
      <c r="I284">
        <v>21</v>
      </c>
    </row>
    <row r="285" spans="1:9" x14ac:dyDescent="0.3">
      <c r="A285" s="8">
        <v>43974</v>
      </c>
      <c r="B285" t="s">
        <v>10</v>
      </c>
      <c r="C285">
        <v>42703.5</v>
      </c>
      <c r="D285">
        <v>3628726.5</v>
      </c>
      <c r="E285">
        <v>21</v>
      </c>
      <c r="F285">
        <v>2340</v>
      </c>
      <c r="G285">
        <v>2146</v>
      </c>
      <c r="H285">
        <v>172796.5</v>
      </c>
      <c r="I285">
        <v>21</v>
      </c>
    </row>
    <row r="286" spans="1:9" x14ac:dyDescent="0.3">
      <c r="A286" s="8">
        <v>43975</v>
      </c>
      <c r="B286" t="s">
        <v>10</v>
      </c>
      <c r="C286">
        <v>34303.5</v>
      </c>
      <c r="D286">
        <v>2924746.5</v>
      </c>
      <c r="E286">
        <v>20</v>
      </c>
      <c r="F286">
        <v>1999</v>
      </c>
      <c r="G286">
        <v>1829</v>
      </c>
      <c r="H286">
        <v>146237.32500000001</v>
      </c>
      <c r="I286">
        <v>21</v>
      </c>
    </row>
    <row r="287" spans="1:9" x14ac:dyDescent="0.3">
      <c r="A287" s="8">
        <v>43970</v>
      </c>
      <c r="B287" t="s">
        <v>11</v>
      </c>
      <c r="C287">
        <v>84024</v>
      </c>
      <c r="D287">
        <v>6815511</v>
      </c>
      <c r="E287">
        <v>31</v>
      </c>
      <c r="F287">
        <v>5389</v>
      </c>
      <c r="G287">
        <v>5024</v>
      </c>
      <c r="H287">
        <v>219855.19354838709</v>
      </c>
      <c r="I287">
        <v>21</v>
      </c>
    </row>
    <row r="288" spans="1:9" x14ac:dyDescent="0.3">
      <c r="A288" s="8">
        <v>43972</v>
      </c>
      <c r="B288" t="s">
        <v>11</v>
      </c>
      <c r="C288">
        <v>79485</v>
      </c>
      <c r="D288">
        <v>6633847.5</v>
      </c>
      <c r="E288">
        <v>31</v>
      </c>
      <c r="F288">
        <v>5207</v>
      </c>
      <c r="G288">
        <v>4868</v>
      </c>
      <c r="H288">
        <v>213995.0806451613</v>
      </c>
      <c r="I288">
        <v>21</v>
      </c>
    </row>
    <row r="289" spans="1:9" x14ac:dyDescent="0.3">
      <c r="A289" s="8">
        <v>43971</v>
      </c>
      <c r="B289" t="s">
        <v>11</v>
      </c>
      <c r="C289">
        <v>93313.5</v>
      </c>
      <c r="D289">
        <v>7247575.5</v>
      </c>
      <c r="E289">
        <v>31</v>
      </c>
      <c r="F289">
        <v>5698</v>
      </c>
      <c r="G289">
        <v>5258</v>
      </c>
      <c r="H289">
        <v>233792.75806451612</v>
      </c>
      <c r="I289">
        <v>21</v>
      </c>
    </row>
    <row r="290" spans="1:9" x14ac:dyDescent="0.3">
      <c r="A290" s="8">
        <v>43974</v>
      </c>
      <c r="B290" t="s">
        <v>11</v>
      </c>
      <c r="C290">
        <v>102889.5</v>
      </c>
      <c r="D290">
        <v>8089143</v>
      </c>
      <c r="E290">
        <v>31</v>
      </c>
      <c r="F290">
        <v>6276</v>
      </c>
      <c r="G290">
        <v>5801</v>
      </c>
      <c r="H290">
        <v>260940.09677419355</v>
      </c>
      <c r="I290">
        <v>21</v>
      </c>
    </row>
    <row r="291" spans="1:9" x14ac:dyDescent="0.3">
      <c r="A291" s="8">
        <v>43975</v>
      </c>
      <c r="B291" t="s">
        <v>11</v>
      </c>
      <c r="C291">
        <v>76663.5</v>
      </c>
      <c r="D291">
        <v>6451032</v>
      </c>
      <c r="E291">
        <v>31</v>
      </c>
      <c r="F291">
        <v>5035</v>
      </c>
      <c r="G291">
        <v>4683</v>
      </c>
      <c r="H291">
        <v>208097.80645161291</v>
      </c>
      <c r="I291">
        <v>21</v>
      </c>
    </row>
    <row r="292" spans="1:9" x14ac:dyDescent="0.3">
      <c r="A292" s="8">
        <v>43970</v>
      </c>
      <c r="B292" t="s">
        <v>12</v>
      </c>
      <c r="C292">
        <v>11526</v>
      </c>
      <c r="D292">
        <v>938764.5</v>
      </c>
      <c r="E292">
        <v>10</v>
      </c>
      <c r="F292">
        <v>649</v>
      </c>
      <c r="G292">
        <v>568</v>
      </c>
      <c r="H292">
        <v>93876.45</v>
      </c>
      <c r="I292">
        <v>21</v>
      </c>
    </row>
    <row r="293" spans="1:9" x14ac:dyDescent="0.3">
      <c r="A293" s="8">
        <v>43972</v>
      </c>
      <c r="B293" t="s">
        <v>12</v>
      </c>
      <c r="C293">
        <v>11250</v>
      </c>
      <c r="D293">
        <v>935523</v>
      </c>
      <c r="E293">
        <v>10</v>
      </c>
      <c r="F293">
        <v>677</v>
      </c>
      <c r="G293">
        <v>591</v>
      </c>
      <c r="H293">
        <v>93552.3</v>
      </c>
      <c r="I293">
        <v>21</v>
      </c>
    </row>
    <row r="294" spans="1:9" x14ac:dyDescent="0.3">
      <c r="A294" s="8">
        <v>43971</v>
      </c>
      <c r="B294" t="s">
        <v>12</v>
      </c>
      <c r="C294">
        <v>13063.5</v>
      </c>
      <c r="D294">
        <v>1037247</v>
      </c>
      <c r="E294">
        <v>10</v>
      </c>
      <c r="F294">
        <v>745</v>
      </c>
      <c r="G294">
        <v>654</v>
      </c>
      <c r="H294">
        <v>103724.7</v>
      </c>
      <c r="I294">
        <v>21</v>
      </c>
    </row>
    <row r="295" spans="1:9" x14ac:dyDescent="0.3">
      <c r="A295" s="8">
        <v>43974</v>
      </c>
      <c r="B295" t="s">
        <v>12</v>
      </c>
      <c r="C295">
        <v>14773.5</v>
      </c>
      <c r="D295">
        <v>1241383.5</v>
      </c>
      <c r="E295">
        <v>10</v>
      </c>
      <c r="F295">
        <v>828</v>
      </c>
      <c r="G295">
        <v>734</v>
      </c>
      <c r="H295">
        <v>124138.35</v>
      </c>
      <c r="I295">
        <v>21</v>
      </c>
    </row>
    <row r="296" spans="1:9" x14ac:dyDescent="0.3">
      <c r="A296" s="8">
        <v>43975</v>
      </c>
      <c r="B296" t="s">
        <v>12</v>
      </c>
      <c r="C296">
        <v>9994.5</v>
      </c>
      <c r="D296">
        <v>828984</v>
      </c>
      <c r="E296">
        <v>10</v>
      </c>
      <c r="F296">
        <v>639</v>
      </c>
      <c r="G296">
        <v>557</v>
      </c>
      <c r="H296">
        <v>82898.399999999994</v>
      </c>
      <c r="I296">
        <v>21</v>
      </c>
    </row>
    <row r="297" spans="1:9" x14ac:dyDescent="0.3">
      <c r="A297" s="8">
        <v>43970</v>
      </c>
      <c r="B297" t="s">
        <v>13</v>
      </c>
      <c r="C297">
        <v>32434.5</v>
      </c>
      <c r="D297">
        <v>2865337.5</v>
      </c>
      <c r="E297">
        <v>19</v>
      </c>
      <c r="F297">
        <v>1999</v>
      </c>
      <c r="G297">
        <v>1799</v>
      </c>
      <c r="H297">
        <v>150807.23684210525</v>
      </c>
      <c r="I297">
        <v>21</v>
      </c>
    </row>
    <row r="298" spans="1:9" x14ac:dyDescent="0.3">
      <c r="A298" s="8">
        <v>43972</v>
      </c>
      <c r="B298" t="s">
        <v>13</v>
      </c>
      <c r="C298">
        <v>31707</v>
      </c>
      <c r="D298">
        <v>2853181.5</v>
      </c>
      <c r="E298">
        <v>19</v>
      </c>
      <c r="F298">
        <v>1949</v>
      </c>
      <c r="G298">
        <v>1724</v>
      </c>
      <c r="H298">
        <v>150167.44736842104</v>
      </c>
      <c r="I298">
        <v>21</v>
      </c>
    </row>
    <row r="299" spans="1:9" x14ac:dyDescent="0.3">
      <c r="A299" s="8">
        <v>43971</v>
      </c>
      <c r="B299" t="s">
        <v>13</v>
      </c>
      <c r="C299">
        <v>29955</v>
      </c>
      <c r="D299">
        <v>2692230</v>
      </c>
      <c r="E299">
        <v>19</v>
      </c>
      <c r="F299">
        <v>1889</v>
      </c>
      <c r="G299">
        <v>1690</v>
      </c>
      <c r="H299">
        <v>141696.31578947368</v>
      </c>
      <c r="I299">
        <v>21</v>
      </c>
    </row>
    <row r="300" spans="1:9" x14ac:dyDescent="0.3">
      <c r="A300" s="8">
        <v>43974</v>
      </c>
      <c r="B300" t="s">
        <v>13</v>
      </c>
      <c r="C300">
        <v>38176.5</v>
      </c>
      <c r="D300">
        <v>3385372.5</v>
      </c>
      <c r="E300">
        <v>20</v>
      </c>
      <c r="F300">
        <v>2266</v>
      </c>
      <c r="G300">
        <v>1993</v>
      </c>
      <c r="H300">
        <v>169268.625</v>
      </c>
      <c r="I300">
        <v>21</v>
      </c>
    </row>
    <row r="301" spans="1:9" x14ac:dyDescent="0.3">
      <c r="A301" s="8">
        <v>43975</v>
      </c>
      <c r="B301" t="s">
        <v>13</v>
      </c>
      <c r="C301">
        <v>31854</v>
      </c>
      <c r="D301">
        <v>2915533.5</v>
      </c>
      <c r="E301">
        <v>20</v>
      </c>
      <c r="F301">
        <v>2015</v>
      </c>
      <c r="G301">
        <v>1803</v>
      </c>
      <c r="H301">
        <v>145776.67499999999</v>
      </c>
      <c r="I301">
        <v>21</v>
      </c>
    </row>
    <row r="302" spans="1:9" x14ac:dyDescent="0.3">
      <c r="A302" s="8">
        <v>43970</v>
      </c>
      <c r="B302" t="s">
        <v>14</v>
      </c>
      <c r="C302">
        <v>276568.5</v>
      </c>
      <c r="D302">
        <v>27093624</v>
      </c>
      <c r="E302">
        <v>129</v>
      </c>
      <c r="F302">
        <v>16191</v>
      </c>
      <c r="G302">
        <v>15102</v>
      </c>
      <c r="H302">
        <v>210028.09302325582</v>
      </c>
      <c r="I302">
        <v>21</v>
      </c>
    </row>
    <row r="303" spans="1:9" x14ac:dyDescent="0.3">
      <c r="A303" s="8">
        <v>43972</v>
      </c>
      <c r="B303" t="s">
        <v>14</v>
      </c>
      <c r="C303">
        <v>288936</v>
      </c>
      <c r="D303">
        <v>27852900</v>
      </c>
      <c r="E303">
        <v>129</v>
      </c>
      <c r="F303">
        <v>16373</v>
      </c>
      <c r="G303">
        <v>15223</v>
      </c>
      <c r="H303">
        <v>215913.95348837209</v>
      </c>
      <c r="I303">
        <v>21</v>
      </c>
    </row>
    <row r="304" spans="1:9" x14ac:dyDescent="0.3">
      <c r="A304" s="8">
        <v>43971</v>
      </c>
      <c r="B304" t="s">
        <v>14</v>
      </c>
      <c r="C304">
        <v>300151.5</v>
      </c>
      <c r="D304">
        <v>29368771.617449999</v>
      </c>
      <c r="E304">
        <v>129</v>
      </c>
      <c r="F304">
        <v>17095</v>
      </c>
      <c r="G304">
        <v>15919</v>
      </c>
      <c r="H304">
        <v>227664.8962593023</v>
      </c>
      <c r="I304">
        <v>21</v>
      </c>
    </row>
    <row r="305" spans="1:9" x14ac:dyDescent="0.3">
      <c r="A305" s="8">
        <v>43974</v>
      </c>
      <c r="B305" t="s">
        <v>14</v>
      </c>
      <c r="C305">
        <v>356982</v>
      </c>
      <c r="D305">
        <v>35103926.711549997</v>
      </c>
      <c r="E305">
        <v>129</v>
      </c>
      <c r="F305">
        <v>19856</v>
      </c>
      <c r="G305">
        <v>18325</v>
      </c>
      <c r="H305">
        <v>272123.46288023255</v>
      </c>
      <c r="I305">
        <v>21</v>
      </c>
    </row>
    <row r="306" spans="1:9" x14ac:dyDescent="0.3">
      <c r="A306" s="8">
        <v>43975</v>
      </c>
      <c r="B306" t="s">
        <v>14</v>
      </c>
      <c r="C306">
        <v>287740.5</v>
      </c>
      <c r="D306">
        <v>28188534</v>
      </c>
      <c r="E306">
        <v>129</v>
      </c>
      <c r="F306">
        <v>16432</v>
      </c>
      <c r="G306">
        <v>15345</v>
      </c>
      <c r="H306">
        <v>218515.76744186046</v>
      </c>
      <c r="I306">
        <v>21</v>
      </c>
    </row>
    <row r="307" spans="1:9" x14ac:dyDescent="0.3">
      <c r="A307" s="8">
        <v>43970</v>
      </c>
      <c r="B307" t="s">
        <v>15</v>
      </c>
      <c r="C307">
        <v>362536.5</v>
      </c>
      <c r="D307">
        <v>37023243</v>
      </c>
      <c r="E307">
        <v>125</v>
      </c>
      <c r="F307">
        <v>20771</v>
      </c>
      <c r="G307">
        <v>19338</v>
      </c>
      <c r="H307">
        <v>296185.94400000002</v>
      </c>
      <c r="I307">
        <v>21</v>
      </c>
    </row>
    <row r="308" spans="1:9" x14ac:dyDescent="0.3">
      <c r="A308" s="8">
        <v>43972</v>
      </c>
      <c r="B308" t="s">
        <v>15</v>
      </c>
      <c r="C308">
        <v>378043.5</v>
      </c>
      <c r="D308">
        <v>37902156.57</v>
      </c>
      <c r="E308">
        <v>125</v>
      </c>
      <c r="F308">
        <v>20911</v>
      </c>
      <c r="G308">
        <v>19358</v>
      </c>
      <c r="H308">
        <v>303217.25255999999</v>
      </c>
      <c r="I308">
        <v>21</v>
      </c>
    </row>
    <row r="309" spans="1:9" x14ac:dyDescent="0.3">
      <c r="A309" s="8">
        <v>43971</v>
      </c>
      <c r="B309" t="s">
        <v>15</v>
      </c>
      <c r="C309">
        <v>388668</v>
      </c>
      <c r="D309">
        <v>39639309</v>
      </c>
      <c r="E309">
        <v>125</v>
      </c>
      <c r="F309">
        <v>21674</v>
      </c>
      <c r="G309">
        <v>20155</v>
      </c>
      <c r="H309">
        <v>317114.47200000001</v>
      </c>
      <c r="I309">
        <v>21</v>
      </c>
    </row>
    <row r="310" spans="1:9" x14ac:dyDescent="0.3">
      <c r="A310" s="8">
        <v>43974</v>
      </c>
      <c r="B310" t="s">
        <v>15</v>
      </c>
      <c r="C310">
        <v>456885</v>
      </c>
      <c r="D310">
        <v>46408080</v>
      </c>
      <c r="E310">
        <v>125</v>
      </c>
      <c r="F310">
        <v>24574</v>
      </c>
      <c r="G310">
        <v>22609</v>
      </c>
      <c r="H310">
        <v>371264.64</v>
      </c>
      <c r="I310">
        <v>21</v>
      </c>
    </row>
    <row r="311" spans="1:9" x14ac:dyDescent="0.3">
      <c r="A311" s="8">
        <v>43975</v>
      </c>
      <c r="B311" t="s">
        <v>15</v>
      </c>
      <c r="C311">
        <v>375744</v>
      </c>
      <c r="D311">
        <v>38191381.5</v>
      </c>
      <c r="E311">
        <v>125</v>
      </c>
      <c r="F311">
        <v>21004</v>
      </c>
      <c r="G311">
        <v>19556</v>
      </c>
      <c r="H311">
        <v>305531.05200000003</v>
      </c>
      <c r="I311">
        <v>21</v>
      </c>
    </row>
    <row r="312" spans="1:9" x14ac:dyDescent="0.3">
      <c r="A312" s="8">
        <v>43970</v>
      </c>
      <c r="B312" t="s">
        <v>16</v>
      </c>
      <c r="C312">
        <v>75796.5</v>
      </c>
      <c r="D312">
        <v>6173463</v>
      </c>
      <c r="E312">
        <v>36</v>
      </c>
      <c r="F312">
        <v>5094</v>
      </c>
      <c r="G312">
        <v>4716</v>
      </c>
      <c r="H312">
        <v>171485.08333333334</v>
      </c>
      <c r="I312">
        <v>21</v>
      </c>
    </row>
    <row r="313" spans="1:9" x14ac:dyDescent="0.3">
      <c r="A313" s="8">
        <v>43972</v>
      </c>
      <c r="B313" t="s">
        <v>16</v>
      </c>
      <c r="C313">
        <v>73126.5</v>
      </c>
      <c r="D313">
        <v>5864085</v>
      </c>
      <c r="E313">
        <v>36</v>
      </c>
      <c r="F313">
        <v>4816</v>
      </c>
      <c r="G313">
        <v>4452</v>
      </c>
      <c r="H313">
        <v>162891.25</v>
      </c>
      <c r="I313">
        <v>21</v>
      </c>
    </row>
    <row r="314" spans="1:9" x14ac:dyDescent="0.3">
      <c r="A314" s="8">
        <v>43971</v>
      </c>
      <c r="B314" t="s">
        <v>16</v>
      </c>
      <c r="C314">
        <v>99631.5</v>
      </c>
      <c r="D314">
        <v>7121946</v>
      </c>
      <c r="E314">
        <v>36</v>
      </c>
      <c r="F314">
        <v>5914</v>
      </c>
      <c r="G314">
        <v>5384</v>
      </c>
      <c r="H314">
        <v>197831.83333333334</v>
      </c>
      <c r="I314">
        <v>21</v>
      </c>
    </row>
    <row r="315" spans="1:9" x14ac:dyDescent="0.3">
      <c r="A315" s="8">
        <v>43974</v>
      </c>
      <c r="B315" t="s">
        <v>16</v>
      </c>
      <c r="C315">
        <v>89556</v>
      </c>
      <c r="D315">
        <v>7173117</v>
      </c>
      <c r="E315">
        <v>36</v>
      </c>
      <c r="F315">
        <v>5651</v>
      </c>
      <c r="G315">
        <v>5212</v>
      </c>
      <c r="H315">
        <v>199253.25</v>
      </c>
      <c r="I315">
        <v>21</v>
      </c>
    </row>
    <row r="316" spans="1:9" x14ac:dyDescent="0.3">
      <c r="A316" s="8">
        <v>43975</v>
      </c>
      <c r="B316" t="s">
        <v>16</v>
      </c>
      <c r="C316">
        <v>74649</v>
      </c>
      <c r="D316">
        <v>6098236.5</v>
      </c>
      <c r="E316">
        <v>36</v>
      </c>
      <c r="F316">
        <v>4915</v>
      </c>
      <c r="G316">
        <v>4562</v>
      </c>
      <c r="H316">
        <v>169395.45833333334</v>
      </c>
      <c r="I316">
        <v>21</v>
      </c>
    </row>
    <row r="317" spans="1:9" x14ac:dyDescent="0.3">
      <c r="A317" s="8">
        <v>43970</v>
      </c>
      <c r="B317" t="s">
        <v>17</v>
      </c>
      <c r="C317">
        <v>38250</v>
      </c>
      <c r="D317">
        <v>3552937.5</v>
      </c>
      <c r="E317">
        <v>21</v>
      </c>
      <c r="F317">
        <v>2245</v>
      </c>
      <c r="G317">
        <v>2053</v>
      </c>
      <c r="H317">
        <v>169187.5</v>
      </c>
      <c r="I317">
        <v>21</v>
      </c>
    </row>
    <row r="318" spans="1:9" x14ac:dyDescent="0.3">
      <c r="A318" s="8">
        <v>43972</v>
      </c>
      <c r="B318" t="s">
        <v>17</v>
      </c>
      <c r="C318">
        <v>40819.5</v>
      </c>
      <c r="D318">
        <v>3810394.5</v>
      </c>
      <c r="E318">
        <v>21</v>
      </c>
      <c r="F318">
        <v>2335</v>
      </c>
      <c r="G318">
        <v>2126</v>
      </c>
      <c r="H318">
        <v>181447.35714285713</v>
      </c>
      <c r="I318">
        <v>21</v>
      </c>
    </row>
    <row r="319" spans="1:9" x14ac:dyDescent="0.3">
      <c r="A319" s="8">
        <v>43971</v>
      </c>
      <c r="B319" t="s">
        <v>17</v>
      </c>
      <c r="C319">
        <v>41391</v>
      </c>
      <c r="D319">
        <v>3918987</v>
      </c>
      <c r="E319">
        <v>21</v>
      </c>
      <c r="F319">
        <v>2410</v>
      </c>
      <c r="G319">
        <v>2202</v>
      </c>
      <c r="H319">
        <v>186618.42857142858</v>
      </c>
      <c r="I319">
        <v>21</v>
      </c>
    </row>
    <row r="320" spans="1:9" x14ac:dyDescent="0.3">
      <c r="A320" s="8">
        <v>43974</v>
      </c>
      <c r="B320" t="s">
        <v>17</v>
      </c>
      <c r="C320">
        <v>42999</v>
      </c>
      <c r="D320">
        <v>3883215</v>
      </c>
      <c r="E320">
        <v>21</v>
      </c>
      <c r="F320">
        <v>2460</v>
      </c>
      <c r="G320">
        <v>2226</v>
      </c>
      <c r="H320">
        <v>184915</v>
      </c>
      <c r="I320">
        <v>21</v>
      </c>
    </row>
    <row r="321" spans="1:9" x14ac:dyDescent="0.3">
      <c r="A321" s="8">
        <v>43975</v>
      </c>
      <c r="B321" t="s">
        <v>17</v>
      </c>
      <c r="C321">
        <v>38194.5</v>
      </c>
      <c r="D321">
        <v>3449302.5</v>
      </c>
      <c r="E321">
        <v>21</v>
      </c>
      <c r="F321">
        <v>2254</v>
      </c>
      <c r="G321">
        <v>2061</v>
      </c>
      <c r="H321">
        <v>164252.5</v>
      </c>
      <c r="I321">
        <v>21</v>
      </c>
    </row>
    <row r="322" spans="1:9" x14ac:dyDescent="0.3">
      <c r="A322" s="8">
        <v>43970</v>
      </c>
      <c r="B322" t="s">
        <v>18</v>
      </c>
      <c r="C322">
        <v>16638</v>
      </c>
      <c r="D322">
        <v>1364847</v>
      </c>
      <c r="E322">
        <v>16</v>
      </c>
      <c r="F322">
        <v>1012</v>
      </c>
      <c r="G322">
        <v>900</v>
      </c>
      <c r="H322">
        <v>85302.9375</v>
      </c>
      <c r="I322">
        <v>21</v>
      </c>
    </row>
    <row r="323" spans="1:9" x14ac:dyDescent="0.3">
      <c r="A323" s="8">
        <v>43972</v>
      </c>
      <c r="B323" t="s">
        <v>18</v>
      </c>
      <c r="C323">
        <v>16554</v>
      </c>
      <c r="D323">
        <v>1380751.5</v>
      </c>
      <c r="E323">
        <v>17</v>
      </c>
      <c r="F323">
        <v>1045</v>
      </c>
      <c r="G323">
        <v>930</v>
      </c>
      <c r="H323">
        <v>81220.676470588238</v>
      </c>
      <c r="I323">
        <v>21</v>
      </c>
    </row>
    <row r="324" spans="1:9" x14ac:dyDescent="0.3">
      <c r="A324" s="8">
        <v>43971</v>
      </c>
      <c r="B324" t="s">
        <v>18</v>
      </c>
      <c r="C324">
        <v>17329.5</v>
      </c>
      <c r="D324">
        <v>1430254.5</v>
      </c>
      <c r="E324">
        <v>16</v>
      </c>
      <c r="F324">
        <v>1050</v>
      </c>
      <c r="G324">
        <v>938</v>
      </c>
      <c r="H324">
        <v>89390.90625</v>
      </c>
      <c r="I324">
        <v>21</v>
      </c>
    </row>
    <row r="325" spans="1:9" x14ac:dyDescent="0.3">
      <c r="A325" s="8">
        <v>43974</v>
      </c>
      <c r="B325" t="s">
        <v>18</v>
      </c>
      <c r="C325">
        <v>21958.5</v>
      </c>
      <c r="D325">
        <v>1854001.5</v>
      </c>
      <c r="E325">
        <v>17</v>
      </c>
      <c r="F325">
        <v>1294</v>
      </c>
      <c r="G325">
        <v>1155</v>
      </c>
      <c r="H325">
        <v>109058.91176470589</v>
      </c>
      <c r="I325">
        <v>21</v>
      </c>
    </row>
    <row r="326" spans="1:9" x14ac:dyDescent="0.3">
      <c r="A326" s="8">
        <v>43975</v>
      </c>
      <c r="B326" t="s">
        <v>18</v>
      </c>
      <c r="C326">
        <v>18075</v>
      </c>
      <c r="D326">
        <v>1548099</v>
      </c>
      <c r="E326">
        <v>17</v>
      </c>
      <c r="F326">
        <v>1128</v>
      </c>
      <c r="G326">
        <v>1001</v>
      </c>
      <c r="H326">
        <v>91064.647058823524</v>
      </c>
      <c r="I326">
        <v>21</v>
      </c>
    </row>
    <row r="327" spans="1:9" x14ac:dyDescent="0.3">
      <c r="A327" s="8">
        <v>43970</v>
      </c>
      <c r="B327" t="s">
        <v>19</v>
      </c>
      <c r="C327">
        <v>16237.5</v>
      </c>
      <c r="D327">
        <v>1403047.5</v>
      </c>
      <c r="E327">
        <v>15</v>
      </c>
      <c r="F327">
        <v>930</v>
      </c>
      <c r="G327">
        <v>827</v>
      </c>
      <c r="H327">
        <v>93536.5</v>
      </c>
      <c r="I327">
        <v>21</v>
      </c>
    </row>
    <row r="328" spans="1:9" x14ac:dyDescent="0.3">
      <c r="A328" s="8">
        <v>43972</v>
      </c>
      <c r="B328" t="s">
        <v>19</v>
      </c>
      <c r="C328">
        <v>12135</v>
      </c>
      <c r="D328">
        <v>1103623.5</v>
      </c>
      <c r="E328">
        <v>15</v>
      </c>
      <c r="F328">
        <v>749</v>
      </c>
      <c r="G328">
        <v>652</v>
      </c>
      <c r="H328">
        <v>73574.899999999994</v>
      </c>
      <c r="I328">
        <v>21</v>
      </c>
    </row>
    <row r="329" spans="1:9" x14ac:dyDescent="0.3">
      <c r="A329" s="8">
        <v>43971</v>
      </c>
      <c r="B329" t="s">
        <v>19</v>
      </c>
      <c r="C329">
        <v>12630</v>
      </c>
      <c r="D329">
        <v>1104858</v>
      </c>
      <c r="E329">
        <v>15</v>
      </c>
      <c r="F329">
        <v>760</v>
      </c>
      <c r="G329">
        <v>664</v>
      </c>
      <c r="H329">
        <v>73657.2</v>
      </c>
      <c r="I329">
        <v>21</v>
      </c>
    </row>
    <row r="330" spans="1:9" x14ac:dyDescent="0.3">
      <c r="A330" s="8">
        <v>43974</v>
      </c>
      <c r="B330" t="s">
        <v>19</v>
      </c>
      <c r="C330">
        <v>14167.5</v>
      </c>
      <c r="D330">
        <v>1315075.5</v>
      </c>
      <c r="E330">
        <v>15</v>
      </c>
      <c r="F330">
        <v>840</v>
      </c>
      <c r="G330">
        <v>725</v>
      </c>
      <c r="H330">
        <v>87671.7</v>
      </c>
      <c r="I330">
        <v>21</v>
      </c>
    </row>
    <row r="331" spans="1:9" x14ac:dyDescent="0.3">
      <c r="A331" s="8">
        <v>43975</v>
      </c>
      <c r="B331" t="s">
        <v>19</v>
      </c>
      <c r="C331">
        <v>12666</v>
      </c>
      <c r="D331">
        <v>1184865</v>
      </c>
      <c r="E331">
        <v>15</v>
      </c>
      <c r="F331">
        <v>779</v>
      </c>
      <c r="G331">
        <v>673</v>
      </c>
      <c r="H331">
        <v>78991</v>
      </c>
      <c r="I331">
        <v>21</v>
      </c>
    </row>
    <row r="332" spans="1:9" x14ac:dyDescent="0.3">
      <c r="A332" s="8">
        <v>43970</v>
      </c>
      <c r="B332" t="s">
        <v>20</v>
      </c>
      <c r="C332">
        <v>28882.5</v>
      </c>
      <c r="D332">
        <v>2446530</v>
      </c>
      <c r="E332">
        <v>19</v>
      </c>
      <c r="F332">
        <v>1831</v>
      </c>
      <c r="G332">
        <v>1667</v>
      </c>
      <c r="H332">
        <v>128764.73684210527</v>
      </c>
      <c r="I332">
        <v>21</v>
      </c>
    </row>
    <row r="333" spans="1:9" x14ac:dyDescent="0.3">
      <c r="A333" s="8">
        <v>43972</v>
      </c>
      <c r="B333" t="s">
        <v>20</v>
      </c>
      <c r="C333">
        <v>25362</v>
      </c>
      <c r="D333">
        <v>2198935.5</v>
      </c>
      <c r="E333">
        <v>19</v>
      </c>
      <c r="F333">
        <v>1650</v>
      </c>
      <c r="G333">
        <v>1505</v>
      </c>
      <c r="H333">
        <v>115733.44736842105</v>
      </c>
      <c r="I333">
        <v>21</v>
      </c>
    </row>
    <row r="334" spans="1:9" x14ac:dyDescent="0.3">
      <c r="A334" s="8">
        <v>43971</v>
      </c>
      <c r="B334" t="s">
        <v>20</v>
      </c>
      <c r="C334">
        <v>28849.5</v>
      </c>
      <c r="D334">
        <v>2520759</v>
      </c>
      <c r="E334">
        <v>19</v>
      </c>
      <c r="F334">
        <v>1823</v>
      </c>
      <c r="G334">
        <v>1678</v>
      </c>
      <c r="H334">
        <v>132671.52631578947</v>
      </c>
      <c r="I334">
        <v>21</v>
      </c>
    </row>
    <row r="335" spans="1:9" x14ac:dyDescent="0.3">
      <c r="A335" s="8">
        <v>43974</v>
      </c>
      <c r="B335" t="s">
        <v>20</v>
      </c>
      <c r="C335">
        <v>36997.5</v>
      </c>
      <c r="D335">
        <v>3089140.5</v>
      </c>
      <c r="E335">
        <v>19</v>
      </c>
      <c r="F335">
        <v>2195</v>
      </c>
      <c r="G335">
        <v>1999</v>
      </c>
      <c r="H335">
        <v>162586.34210526315</v>
      </c>
      <c r="I335">
        <v>21</v>
      </c>
    </row>
    <row r="336" spans="1:9" x14ac:dyDescent="0.3">
      <c r="A336" s="8">
        <v>43975</v>
      </c>
      <c r="B336" t="s">
        <v>20</v>
      </c>
      <c r="C336">
        <v>29824.5</v>
      </c>
      <c r="D336">
        <v>2526909</v>
      </c>
      <c r="E336">
        <v>19</v>
      </c>
      <c r="F336">
        <v>1868</v>
      </c>
      <c r="G336">
        <v>1706</v>
      </c>
      <c r="H336">
        <v>132995.21052631579</v>
      </c>
      <c r="I336">
        <v>21</v>
      </c>
    </row>
    <row r="337" spans="1:9" x14ac:dyDescent="0.3">
      <c r="A337" s="8">
        <v>43970</v>
      </c>
      <c r="B337" t="s">
        <v>21</v>
      </c>
      <c r="C337">
        <v>223597.5</v>
      </c>
      <c r="D337">
        <v>21945858</v>
      </c>
      <c r="E337" t="e">
        <v>#N/A</v>
      </c>
      <c r="F337" t="e">
        <v>#N/A</v>
      </c>
      <c r="G337" t="e">
        <v>#N/A</v>
      </c>
      <c r="H337" t="e">
        <v>#N/A</v>
      </c>
      <c r="I337">
        <v>21</v>
      </c>
    </row>
    <row r="338" spans="1:9" x14ac:dyDescent="0.3">
      <c r="A338" s="8">
        <v>43972</v>
      </c>
      <c r="B338" t="s">
        <v>21</v>
      </c>
      <c r="C338">
        <v>224233.5</v>
      </c>
      <c r="D338">
        <v>22253295</v>
      </c>
      <c r="E338">
        <v>60</v>
      </c>
      <c r="F338">
        <v>14005</v>
      </c>
      <c r="G338">
        <v>13002</v>
      </c>
      <c r="H338">
        <v>370888.25</v>
      </c>
      <c r="I338">
        <v>21</v>
      </c>
    </row>
    <row r="339" spans="1:9" x14ac:dyDescent="0.3">
      <c r="A339" s="8">
        <v>43971</v>
      </c>
      <c r="B339" t="s">
        <v>21</v>
      </c>
      <c r="C339">
        <v>219622.5</v>
      </c>
      <c r="D339">
        <v>21959286</v>
      </c>
      <c r="E339">
        <v>60</v>
      </c>
      <c r="F339">
        <v>13792</v>
      </c>
      <c r="G339">
        <v>12834</v>
      </c>
      <c r="H339">
        <v>365988.1</v>
      </c>
      <c r="I339">
        <v>21</v>
      </c>
    </row>
    <row r="340" spans="1:9" x14ac:dyDescent="0.3">
      <c r="A340" s="8">
        <v>43974</v>
      </c>
      <c r="B340" t="s">
        <v>21</v>
      </c>
      <c r="C340">
        <v>292018.5</v>
      </c>
      <c r="D340">
        <v>28590910.5</v>
      </c>
      <c r="E340">
        <v>60</v>
      </c>
      <c r="F340">
        <v>17295</v>
      </c>
      <c r="G340">
        <v>16010</v>
      </c>
      <c r="H340">
        <v>476515.17499999999</v>
      </c>
      <c r="I340">
        <v>21</v>
      </c>
    </row>
    <row r="341" spans="1:9" x14ac:dyDescent="0.3">
      <c r="A341" s="8">
        <v>43975</v>
      </c>
      <c r="B341" t="s">
        <v>21</v>
      </c>
      <c r="C341">
        <v>200029.5</v>
      </c>
      <c r="D341">
        <v>19959801</v>
      </c>
      <c r="E341">
        <v>60</v>
      </c>
      <c r="F341">
        <v>12822</v>
      </c>
      <c r="G341">
        <v>11916</v>
      </c>
      <c r="H341">
        <v>332663.34999999998</v>
      </c>
      <c r="I341">
        <v>21</v>
      </c>
    </row>
    <row r="342" spans="1:9" x14ac:dyDescent="0.3">
      <c r="A342" s="8">
        <v>43970</v>
      </c>
      <c r="B342" t="s">
        <v>22</v>
      </c>
      <c r="C342">
        <v>211453.5</v>
      </c>
      <c r="D342">
        <v>20590072.5</v>
      </c>
      <c r="E342" t="e">
        <v>#N/A</v>
      </c>
      <c r="F342" t="e">
        <v>#N/A</v>
      </c>
      <c r="G342" t="e">
        <v>#N/A</v>
      </c>
      <c r="H342" t="e">
        <v>#N/A</v>
      </c>
      <c r="I342">
        <v>21</v>
      </c>
    </row>
    <row r="343" spans="1:9" x14ac:dyDescent="0.3">
      <c r="A343" s="8">
        <v>43972</v>
      </c>
      <c r="B343" t="s">
        <v>22</v>
      </c>
      <c r="C343">
        <v>213640.5</v>
      </c>
      <c r="D343">
        <v>21042673.5</v>
      </c>
      <c r="E343" t="e">
        <v>#N/A</v>
      </c>
      <c r="F343" t="e">
        <v>#N/A</v>
      </c>
      <c r="G343" t="e">
        <v>#N/A</v>
      </c>
      <c r="H343" t="e">
        <v>#N/A</v>
      </c>
      <c r="I343">
        <v>21</v>
      </c>
    </row>
    <row r="344" spans="1:9" x14ac:dyDescent="0.3">
      <c r="A344" s="8">
        <v>43971</v>
      </c>
      <c r="B344" t="s">
        <v>22</v>
      </c>
      <c r="C344">
        <v>214885.5</v>
      </c>
      <c r="D344">
        <v>21411349.5</v>
      </c>
      <c r="E344" t="e">
        <v>#N/A</v>
      </c>
      <c r="F344" t="e">
        <v>#N/A</v>
      </c>
      <c r="G344" t="e">
        <v>#N/A</v>
      </c>
      <c r="H344" t="e">
        <v>#N/A</v>
      </c>
      <c r="I344">
        <v>21</v>
      </c>
    </row>
    <row r="345" spans="1:9" x14ac:dyDescent="0.3">
      <c r="A345" s="8">
        <v>43974</v>
      </c>
      <c r="B345" t="s">
        <v>22</v>
      </c>
      <c r="C345">
        <v>275793</v>
      </c>
      <c r="D345">
        <v>26806626</v>
      </c>
      <c r="E345">
        <v>54</v>
      </c>
      <c r="F345">
        <v>16221</v>
      </c>
      <c r="G345">
        <v>15065</v>
      </c>
      <c r="H345">
        <v>496419</v>
      </c>
      <c r="I345">
        <v>21</v>
      </c>
    </row>
    <row r="346" spans="1:9" x14ac:dyDescent="0.3">
      <c r="A346" s="8">
        <v>43975</v>
      </c>
      <c r="B346" t="s">
        <v>22</v>
      </c>
      <c r="C346">
        <v>193719</v>
      </c>
      <c r="D346">
        <v>19071117</v>
      </c>
      <c r="E346">
        <v>54</v>
      </c>
      <c r="F346">
        <v>12211</v>
      </c>
      <c r="G346">
        <v>11427</v>
      </c>
      <c r="H346">
        <v>353168.83333333331</v>
      </c>
      <c r="I346">
        <v>21</v>
      </c>
    </row>
    <row r="347" spans="1:9" x14ac:dyDescent="0.3">
      <c r="A347" s="8">
        <v>43970</v>
      </c>
      <c r="B347" t="s">
        <v>23</v>
      </c>
      <c r="C347">
        <v>14427</v>
      </c>
      <c r="D347">
        <v>1126810.5</v>
      </c>
      <c r="E347" t="e">
        <v>#N/A</v>
      </c>
      <c r="F347" t="e">
        <v>#N/A</v>
      </c>
      <c r="G347" t="e">
        <v>#N/A</v>
      </c>
      <c r="H347" t="e">
        <v>#N/A</v>
      </c>
      <c r="I347">
        <v>21</v>
      </c>
    </row>
    <row r="348" spans="1:9" x14ac:dyDescent="0.3">
      <c r="A348" s="8">
        <v>43972</v>
      </c>
      <c r="B348" t="s">
        <v>23</v>
      </c>
      <c r="C348">
        <v>14182.5</v>
      </c>
      <c r="D348">
        <v>1172574</v>
      </c>
      <c r="E348" t="e">
        <v>#N/A</v>
      </c>
      <c r="F348" t="e">
        <v>#N/A</v>
      </c>
      <c r="G348" t="e">
        <v>#N/A</v>
      </c>
      <c r="H348" t="e">
        <v>#N/A</v>
      </c>
      <c r="I348">
        <v>21</v>
      </c>
    </row>
    <row r="349" spans="1:9" x14ac:dyDescent="0.3">
      <c r="A349" s="8">
        <v>43971</v>
      </c>
      <c r="B349" t="s">
        <v>23</v>
      </c>
      <c r="C349">
        <v>14928</v>
      </c>
      <c r="D349">
        <v>1217749.5</v>
      </c>
      <c r="E349" t="e">
        <v>#N/A</v>
      </c>
      <c r="F349" t="e">
        <v>#N/A</v>
      </c>
      <c r="G349" t="e">
        <v>#N/A</v>
      </c>
      <c r="H349" t="e">
        <v>#N/A</v>
      </c>
      <c r="I349">
        <v>21</v>
      </c>
    </row>
    <row r="350" spans="1:9" x14ac:dyDescent="0.3">
      <c r="A350" s="8">
        <v>43974</v>
      </c>
      <c r="B350" t="s">
        <v>23</v>
      </c>
      <c r="C350">
        <v>17943</v>
      </c>
      <c r="D350">
        <v>1457391</v>
      </c>
      <c r="E350" t="e">
        <v>#N/A</v>
      </c>
      <c r="F350" t="e">
        <v>#N/A</v>
      </c>
      <c r="G350" t="e">
        <v>#N/A</v>
      </c>
      <c r="H350" t="e">
        <v>#N/A</v>
      </c>
      <c r="I350">
        <v>21</v>
      </c>
    </row>
    <row r="351" spans="1:9" x14ac:dyDescent="0.3">
      <c r="A351" s="8">
        <v>43975</v>
      </c>
      <c r="B351" t="s">
        <v>23</v>
      </c>
      <c r="C351">
        <v>17197.5</v>
      </c>
      <c r="D351">
        <v>1386262.5</v>
      </c>
      <c r="E351" t="e">
        <v>#N/A</v>
      </c>
      <c r="F351" t="e">
        <v>#N/A</v>
      </c>
      <c r="G351" t="e">
        <v>#N/A</v>
      </c>
      <c r="H351" t="e">
        <v>#N/A</v>
      </c>
      <c r="I351">
        <v>21</v>
      </c>
    </row>
    <row r="352" spans="1:9" x14ac:dyDescent="0.3">
      <c r="A352" s="8">
        <v>43973</v>
      </c>
      <c r="B352" t="s">
        <v>10</v>
      </c>
      <c r="C352">
        <v>36031.5</v>
      </c>
      <c r="D352">
        <v>3091069.5</v>
      </c>
      <c r="E352" t="e">
        <v>#N/A</v>
      </c>
      <c r="F352" t="e">
        <v>#N/A</v>
      </c>
      <c r="G352" t="e">
        <v>#N/A</v>
      </c>
      <c r="H352" t="e">
        <v>#N/A</v>
      </c>
      <c r="I352">
        <v>21</v>
      </c>
    </row>
    <row r="353" spans="1:9" x14ac:dyDescent="0.3">
      <c r="A353" s="8">
        <v>43969</v>
      </c>
      <c r="B353" t="s">
        <v>10</v>
      </c>
      <c r="C353">
        <v>31329</v>
      </c>
      <c r="D353">
        <v>2826379.5</v>
      </c>
      <c r="E353" t="e">
        <v>#N/A</v>
      </c>
      <c r="F353" t="e">
        <v>#N/A</v>
      </c>
      <c r="G353" t="e">
        <v>#N/A</v>
      </c>
      <c r="H353" t="e">
        <v>#N/A</v>
      </c>
      <c r="I353">
        <v>21</v>
      </c>
    </row>
    <row r="354" spans="1:9" x14ac:dyDescent="0.3">
      <c r="A354" s="8">
        <v>43973</v>
      </c>
      <c r="B354" t="s">
        <v>11</v>
      </c>
      <c r="C354">
        <v>97963.5</v>
      </c>
      <c r="D354">
        <v>7728465</v>
      </c>
      <c r="E354" t="e">
        <v>#N/A</v>
      </c>
      <c r="F354" t="e">
        <v>#N/A</v>
      </c>
      <c r="G354" t="e">
        <v>#N/A</v>
      </c>
      <c r="H354" t="e">
        <v>#N/A</v>
      </c>
      <c r="I354">
        <v>21</v>
      </c>
    </row>
    <row r="355" spans="1:9" x14ac:dyDescent="0.3">
      <c r="A355" s="8">
        <v>43969</v>
      </c>
      <c r="B355" t="s">
        <v>11</v>
      </c>
      <c r="C355">
        <v>78058.5</v>
      </c>
      <c r="D355">
        <v>6609714</v>
      </c>
      <c r="E355" t="e">
        <v>#N/A</v>
      </c>
      <c r="F355" t="e">
        <v>#N/A</v>
      </c>
      <c r="G355" t="e">
        <v>#N/A</v>
      </c>
      <c r="H355" t="e">
        <v>#N/A</v>
      </c>
      <c r="I355">
        <v>21</v>
      </c>
    </row>
    <row r="356" spans="1:9" x14ac:dyDescent="0.3">
      <c r="A356" s="8">
        <v>43973</v>
      </c>
      <c r="B356" t="s">
        <v>12</v>
      </c>
      <c r="C356">
        <v>18036</v>
      </c>
      <c r="D356">
        <v>1455049.5</v>
      </c>
      <c r="E356" t="e">
        <v>#N/A</v>
      </c>
      <c r="F356" t="e">
        <v>#N/A</v>
      </c>
      <c r="G356" t="e">
        <v>#N/A</v>
      </c>
      <c r="H356" t="e">
        <v>#N/A</v>
      </c>
      <c r="I356">
        <v>21</v>
      </c>
    </row>
    <row r="357" spans="1:9" x14ac:dyDescent="0.3">
      <c r="A357" s="8">
        <v>43969</v>
      </c>
      <c r="B357" t="s">
        <v>12</v>
      </c>
      <c r="C357">
        <v>11680.5</v>
      </c>
      <c r="D357">
        <v>936427.5</v>
      </c>
      <c r="E357" t="e">
        <v>#N/A</v>
      </c>
      <c r="F357" t="e">
        <v>#N/A</v>
      </c>
      <c r="G357" t="e">
        <v>#N/A</v>
      </c>
      <c r="H357" t="e">
        <v>#N/A</v>
      </c>
      <c r="I357">
        <v>21</v>
      </c>
    </row>
    <row r="358" spans="1:9" x14ac:dyDescent="0.3">
      <c r="A358" s="8">
        <v>43973</v>
      </c>
      <c r="B358" t="s">
        <v>13</v>
      </c>
      <c r="C358">
        <v>38074.5</v>
      </c>
      <c r="D358">
        <v>3414180</v>
      </c>
      <c r="E358" t="e">
        <v>#N/A</v>
      </c>
      <c r="F358" t="e">
        <v>#N/A</v>
      </c>
      <c r="G358" t="e">
        <v>#N/A</v>
      </c>
      <c r="H358" t="e">
        <v>#N/A</v>
      </c>
      <c r="I358">
        <v>21</v>
      </c>
    </row>
    <row r="359" spans="1:9" x14ac:dyDescent="0.3">
      <c r="A359" s="8">
        <v>43969</v>
      </c>
      <c r="B359" t="s">
        <v>13</v>
      </c>
      <c r="C359">
        <v>28668</v>
      </c>
      <c r="D359">
        <v>2588148</v>
      </c>
      <c r="E359" t="e">
        <v>#N/A</v>
      </c>
      <c r="F359" t="e">
        <v>#N/A</v>
      </c>
      <c r="G359" t="e">
        <v>#N/A</v>
      </c>
      <c r="H359" t="e">
        <v>#N/A</v>
      </c>
      <c r="I359">
        <v>21</v>
      </c>
    </row>
    <row r="360" spans="1:9" x14ac:dyDescent="0.3">
      <c r="A360" s="8">
        <v>43973</v>
      </c>
      <c r="B360" t="s">
        <v>14</v>
      </c>
      <c r="C360">
        <v>304092</v>
      </c>
      <c r="D360">
        <v>29465769</v>
      </c>
      <c r="E360" t="e">
        <v>#N/A</v>
      </c>
      <c r="F360" t="e">
        <v>#N/A</v>
      </c>
      <c r="G360" t="e">
        <v>#N/A</v>
      </c>
      <c r="H360" t="e">
        <v>#N/A</v>
      </c>
      <c r="I360">
        <v>21</v>
      </c>
    </row>
    <row r="361" spans="1:9" x14ac:dyDescent="0.3">
      <c r="A361" s="8">
        <v>43969</v>
      </c>
      <c r="B361" t="s">
        <v>14</v>
      </c>
      <c r="C361">
        <v>273900</v>
      </c>
      <c r="D361">
        <v>27535284.147600003</v>
      </c>
      <c r="E361" t="e">
        <v>#N/A</v>
      </c>
      <c r="F361" t="e">
        <v>#N/A</v>
      </c>
      <c r="G361" t="e">
        <v>#N/A</v>
      </c>
      <c r="H361" t="e">
        <v>#N/A</v>
      </c>
      <c r="I361">
        <v>21</v>
      </c>
    </row>
    <row r="362" spans="1:9" x14ac:dyDescent="0.3">
      <c r="A362" s="8">
        <v>43973</v>
      </c>
      <c r="B362" t="s">
        <v>15</v>
      </c>
      <c r="C362">
        <v>393018</v>
      </c>
      <c r="D362">
        <v>39498373.5</v>
      </c>
      <c r="E362" t="e">
        <v>#N/A</v>
      </c>
      <c r="F362" t="e">
        <v>#N/A</v>
      </c>
      <c r="G362" t="e">
        <v>#N/A</v>
      </c>
      <c r="H362" t="e">
        <v>#N/A</v>
      </c>
      <c r="I362">
        <v>21</v>
      </c>
    </row>
    <row r="363" spans="1:9" x14ac:dyDescent="0.3">
      <c r="A363" s="8">
        <v>43969</v>
      </c>
      <c r="B363" t="s">
        <v>15</v>
      </c>
      <c r="C363">
        <v>355081.5</v>
      </c>
      <c r="D363">
        <v>36876888</v>
      </c>
      <c r="E363" t="e">
        <v>#N/A</v>
      </c>
      <c r="F363" t="e">
        <v>#N/A</v>
      </c>
      <c r="G363" t="e">
        <v>#N/A</v>
      </c>
      <c r="H363" t="e">
        <v>#N/A</v>
      </c>
      <c r="I363">
        <v>21</v>
      </c>
    </row>
    <row r="364" spans="1:9" x14ac:dyDescent="0.3">
      <c r="A364" s="8">
        <v>43973</v>
      </c>
      <c r="B364" t="s">
        <v>16</v>
      </c>
      <c r="C364">
        <v>75820.5</v>
      </c>
      <c r="D364">
        <v>5943489</v>
      </c>
      <c r="E364" t="e">
        <v>#N/A</v>
      </c>
      <c r="F364" t="e">
        <v>#N/A</v>
      </c>
      <c r="G364" t="e">
        <v>#N/A</v>
      </c>
      <c r="H364" t="e">
        <v>#N/A</v>
      </c>
      <c r="I364">
        <v>21</v>
      </c>
    </row>
    <row r="365" spans="1:9" x14ac:dyDescent="0.3">
      <c r="A365" s="8">
        <v>43969</v>
      </c>
      <c r="B365" t="s">
        <v>16</v>
      </c>
      <c r="C365">
        <v>70278</v>
      </c>
      <c r="D365">
        <v>5798476.5</v>
      </c>
      <c r="E365" t="e">
        <v>#N/A</v>
      </c>
      <c r="F365" t="e">
        <v>#N/A</v>
      </c>
      <c r="G365" t="e">
        <v>#N/A</v>
      </c>
      <c r="H365" t="e">
        <v>#N/A</v>
      </c>
      <c r="I365">
        <v>21</v>
      </c>
    </row>
    <row r="366" spans="1:9" x14ac:dyDescent="0.3">
      <c r="A366" s="8">
        <v>43973</v>
      </c>
      <c r="B366" t="s">
        <v>17</v>
      </c>
      <c r="C366">
        <v>53838</v>
      </c>
      <c r="D366">
        <v>4840833</v>
      </c>
      <c r="E366" t="e">
        <v>#N/A</v>
      </c>
      <c r="F366" t="e">
        <v>#N/A</v>
      </c>
      <c r="G366" t="e">
        <v>#N/A</v>
      </c>
      <c r="H366" t="e">
        <v>#N/A</v>
      </c>
      <c r="I366">
        <v>21</v>
      </c>
    </row>
    <row r="367" spans="1:9" x14ac:dyDescent="0.3">
      <c r="A367" s="8">
        <v>43969</v>
      </c>
      <c r="B367" t="s">
        <v>17</v>
      </c>
      <c r="C367">
        <v>36655.5</v>
      </c>
      <c r="D367">
        <v>3360135</v>
      </c>
      <c r="E367" t="e">
        <v>#N/A</v>
      </c>
      <c r="F367" t="e">
        <v>#N/A</v>
      </c>
      <c r="G367" t="e">
        <v>#N/A</v>
      </c>
      <c r="H367" t="e">
        <v>#N/A</v>
      </c>
      <c r="I367">
        <v>21</v>
      </c>
    </row>
    <row r="368" spans="1:9" x14ac:dyDescent="0.3">
      <c r="A368" s="8">
        <v>43973</v>
      </c>
      <c r="B368" t="s">
        <v>18</v>
      </c>
      <c r="C368">
        <v>21483</v>
      </c>
      <c r="D368">
        <v>1774329</v>
      </c>
      <c r="E368" t="e">
        <v>#N/A</v>
      </c>
      <c r="F368" t="e">
        <v>#N/A</v>
      </c>
      <c r="G368" t="e">
        <v>#N/A</v>
      </c>
      <c r="H368" t="e">
        <v>#N/A</v>
      </c>
      <c r="I368">
        <v>21</v>
      </c>
    </row>
    <row r="369" spans="1:9" x14ac:dyDescent="0.3">
      <c r="A369" s="8">
        <v>43969</v>
      </c>
      <c r="B369" t="s">
        <v>18</v>
      </c>
      <c r="C369">
        <v>14290.5</v>
      </c>
      <c r="D369">
        <v>1246162.5</v>
      </c>
      <c r="E369" t="e">
        <v>#N/A</v>
      </c>
      <c r="F369" t="e">
        <v>#N/A</v>
      </c>
      <c r="G369" t="e">
        <v>#N/A</v>
      </c>
      <c r="H369" t="e">
        <v>#N/A</v>
      </c>
      <c r="I369">
        <v>21</v>
      </c>
    </row>
    <row r="370" spans="1:9" x14ac:dyDescent="0.3">
      <c r="A370" s="8">
        <v>43973</v>
      </c>
      <c r="B370" t="s">
        <v>19</v>
      </c>
      <c r="C370">
        <v>15802.5</v>
      </c>
      <c r="D370">
        <v>1411909.5</v>
      </c>
      <c r="E370" t="e">
        <v>#N/A</v>
      </c>
      <c r="F370" t="e">
        <v>#N/A</v>
      </c>
      <c r="G370" t="e">
        <v>#N/A</v>
      </c>
      <c r="H370" t="e">
        <v>#N/A</v>
      </c>
      <c r="I370">
        <v>21</v>
      </c>
    </row>
    <row r="371" spans="1:9" x14ac:dyDescent="0.3">
      <c r="A371" s="8">
        <v>43969</v>
      </c>
      <c r="B371" t="s">
        <v>19</v>
      </c>
      <c r="C371">
        <v>12450</v>
      </c>
      <c r="D371">
        <v>1115146.5</v>
      </c>
      <c r="E371" t="e">
        <v>#N/A</v>
      </c>
      <c r="F371" t="e">
        <v>#N/A</v>
      </c>
      <c r="G371" t="e">
        <v>#N/A</v>
      </c>
      <c r="H371" t="e">
        <v>#N/A</v>
      </c>
      <c r="I371">
        <v>21</v>
      </c>
    </row>
    <row r="372" spans="1:9" x14ac:dyDescent="0.3">
      <c r="A372" s="8">
        <v>43973</v>
      </c>
      <c r="B372" t="s">
        <v>20</v>
      </c>
      <c r="C372">
        <v>30781.5</v>
      </c>
      <c r="D372">
        <v>2540715</v>
      </c>
      <c r="E372" t="e">
        <v>#N/A</v>
      </c>
      <c r="F372" t="e">
        <v>#N/A</v>
      </c>
      <c r="G372" t="e">
        <v>#N/A</v>
      </c>
      <c r="H372" t="e">
        <v>#N/A</v>
      </c>
      <c r="I372">
        <v>21</v>
      </c>
    </row>
    <row r="373" spans="1:9" x14ac:dyDescent="0.3">
      <c r="A373" s="8">
        <v>43969</v>
      </c>
      <c r="B373" t="s">
        <v>20</v>
      </c>
      <c r="C373">
        <v>27181.5</v>
      </c>
      <c r="D373">
        <v>2324490</v>
      </c>
      <c r="E373" t="e">
        <v>#N/A</v>
      </c>
      <c r="F373" t="e">
        <v>#N/A</v>
      </c>
      <c r="G373" t="e">
        <v>#N/A</v>
      </c>
      <c r="H373" t="e">
        <v>#N/A</v>
      </c>
      <c r="I373">
        <v>21</v>
      </c>
    </row>
    <row r="374" spans="1:9" x14ac:dyDescent="0.3">
      <c r="A374" s="8">
        <v>43973</v>
      </c>
      <c r="B374" t="s">
        <v>21</v>
      </c>
      <c r="C374">
        <v>228334.5</v>
      </c>
      <c r="D374">
        <v>22380772.5</v>
      </c>
      <c r="E374" t="e">
        <v>#N/A</v>
      </c>
      <c r="F374" t="e">
        <v>#N/A</v>
      </c>
      <c r="G374" t="e">
        <v>#N/A</v>
      </c>
      <c r="H374" t="e">
        <v>#N/A</v>
      </c>
      <c r="I374">
        <v>21</v>
      </c>
    </row>
    <row r="375" spans="1:9" x14ac:dyDescent="0.3">
      <c r="A375" s="8">
        <v>43969</v>
      </c>
      <c r="B375" t="s">
        <v>21</v>
      </c>
      <c r="C375">
        <v>201999</v>
      </c>
      <c r="D375">
        <v>20422435.5</v>
      </c>
      <c r="E375" t="e">
        <v>#N/A</v>
      </c>
      <c r="F375" t="e">
        <v>#N/A</v>
      </c>
      <c r="G375" t="e">
        <v>#N/A</v>
      </c>
      <c r="H375" t="e">
        <v>#N/A</v>
      </c>
      <c r="I375">
        <v>21</v>
      </c>
    </row>
    <row r="376" spans="1:9" x14ac:dyDescent="0.3">
      <c r="A376" s="8">
        <v>43973</v>
      </c>
      <c r="B376" t="s">
        <v>22</v>
      </c>
      <c r="C376">
        <v>214428</v>
      </c>
      <c r="D376">
        <v>20812585.5</v>
      </c>
      <c r="E376" t="e">
        <v>#N/A</v>
      </c>
      <c r="F376" t="e">
        <v>#N/A</v>
      </c>
      <c r="G376" t="e">
        <v>#N/A</v>
      </c>
      <c r="H376" t="e">
        <v>#N/A</v>
      </c>
      <c r="I376">
        <v>21</v>
      </c>
    </row>
    <row r="377" spans="1:9" x14ac:dyDescent="0.3">
      <c r="A377" s="8">
        <v>43969</v>
      </c>
      <c r="B377" t="s">
        <v>22</v>
      </c>
      <c r="C377">
        <v>196560</v>
      </c>
      <c r="D377">
        <v>19855122</v>
      </c>
      <c r="E377" t="e">
        <v>#N/A</v>
      </c>
      <c r="F377" t="e">
        <v>#N/A</v>
      </c>
      <c r="G377" t="e">
        <v>#N/A</v>
      </c>
      <c r="H377" t="e">
        <v>#N/A</v>
      </c>
      <c r="I377">
        <v>21</v>
      </c>
    </row>
    <row r="378" spans="1:9" x14ac:dyDescent="0.3">
      <c r="A378" s="8">
        <v>43973</v>
      </c>
      <c r="B378" t="s">
        <v>23</v>
      </c>
      <c r="C378">
        <v>17008.5</v>
      </c>
      <c r="D378">
        <v>1398771</v>
      </c>
      <c r="E378" t="e">
        <v>#N/A</v>
      </c>
      <c r="F378" t="e">
        <v>#N/A</v>
      </c>
      <c r="G378" t="e">
        <v>#N/A</v>
      </c>
      <c r="H378" t="e">
        <v>#N/A</v>
      </c>
      <c r="I378">
        <v>21</v>
      </c>
    </row>
    <row r="379" spans="1:9" x14ac:dyDescent="0.3">
      <c r="A379" s="8">
        <v>43969</v>
      </c>
      <c r="B379" t="s">
        <v>23</v>
      </c>
      <c r="C379">
        <v>14497.5</v>
      </c>
      <c r="D379">
        <v>1230711</v>
      </c>
      <c r="E379" t="e">
        <v>#N/A</v>
      </c>
      <c r="F379" t="e">
        <v>#N/A</v>
      </c>
      <c r="G379" t="e">
        <v>#N/A</v>
      </c>
      <c r="H379" t="e">
        <v>#N/A</v>
      </c>
      <c r="I379">
        <v>21</v>
      </c>
    </row>
    <row r="380" spans="1:9" x14ac:dyDescent="0.3">
      <c r="A380" s="8">
        <v>43982</v>
      </c>
      <c r="B380" t="s">
        <v>9</v>
      </c>
      <c r="C380">
        <v>7944</v>
      </c>
      <c r="D380">
        <v>623971.5</v>
      </c>
      <c r="E380">
        <v>15</v>
      </c>
      <c r="F380">
        <v>441</v>
      </c>
      <c r="G380">
        <v>368</v>
      </c>
      <c r="H380">
        <v>41598.1</v>
      </c>
      <c r="I380">
        <v>22</v>
      </c>
    </row>
    <row r="381" spans="1:9" x14ac:dyDescent="0.3">
      <c r="A381" s="8">
        <v>43981</v>
      </c>
      <c r="B381" t="s">
        <v>9</v>
      </c>
      <c r="C381">
        <v>10029</v>
      </c>
      <c r="D381">
        <v>787101</v>
      </c>
      <c r="E381">
        <v>15</v>
      </c>
      <c r="F381">
        <v>490</v>
      </c>
      <c r="G381">
        <v>409</v>
      </c>
      <c r="H381">
        <v>52473.4</v>
      </c>
      <c r="I381">
        <v>22</v>
      </c>
    </row>
    <row r="382" spans="1:9" x14ac:dyDescent="0.3">
      <c r="A382" s="8">
        <v>43979</v>
      </c>
      <c r="B382" t="s">
        <v>9</v>
      </c>
      <c r="C382">
        <v>8536.5</v>
      </c>
      <c r="D382">
        <v>643944</v>
      </c>
      <c r="E382">
        <v>15</v>
      </c>
      <c r="F382">
        <v>464</v>
      </c>
      <c r="G382">
        <v>390</v>
      </c>
      <c r="H382">
        <v>42929.599999999999</v>
      </c>
      <c r="I382">
        <v>22</v>
      </c>
    </row>
    <row r="383" spans="1:9" x14ac:dyDescent="0.3">
      <c r="A383" s="8">
        <v>43977</v>
      </c>
      <c r="B383" t="s">
        <v>10</v>
      </c>
      <c r="C383">
        <v>33423</v>
      </c>
      <c r="D383">
        <v>2970330</v>
      </c>
      <c r="E383">
        <v>20</v>
      </c>
      <c r="F383">
        <v>2044</v>
      </c>
      <c r="G383">
        <v>1863</v>
      </c>
      <c r="H383">
        <v>148516.5</v>
      </c>
      <c r="I383">
        <v>22</v>
      </c>
    </row>
    <row r="384" spans="1:9" x14ac:dyDescent="0.3">
      <c r="A384" s="8">
        <v>43976</v>
      </c>
      <c r="B384" t="s">
        <v>10</v>
      </c>
      <c r="C384">
        <v>35592</v>
      </c>
      <c r="D384">
        <v>3176580</v>
      </c>
      <c r="E384">
        <v>20</v>
      </c>
      <c r="F384">
        <v>2087</v>
      </c>
      <c r="G384">
        <v>1914</v>
      </c>
      <c r="H384">
        <v>158829</v>
      </c>
      <c r="I384">
        <v>22</v>
      </c>
    </row>
    <row r="385" spans="1:9" x14ac:dyDescent="0.3">
      <c r="A385" s="8">
        <v>43982</v>
      </c>
      <c r="B385" t="s">
        <v>10</v>
      </c>
      <c r="C385">
        <v>36999</v>
      </c>
      <c r="D385">
        <v>3473895</v>
      </c>
      <c r="E385">
        <v>21</v>
      </c>
      <c r="F385">
        <v>2271</v>
      </c>
      <c r="G385">
        <v>2085</v>
      </c>
      <c r="H385">
        <v>165423.57142857142</v>
      </c>
      <c r="I385">
        <v>22</v>
      </c>
    </row>
    <row r="386" spans="1:9" x14ac:dyDescent="0.3">
      <c r="A386" s="8">
        <v>43981</v>
      </c>
      <c r="B386" t="s">
        <v>10</v>
      </c>
      <c r="C386">
        <v>44001</v>
      </c>
      <c r="D386">
        <v>3921784.5</v>
      </c>
      <c r="E386">
        <v>20</v>
      </c>
      <c r="F386">
        <v>2597</v>
      </c>
      <c r="G386">
        <v>2376</v>
      </c>
      <c r="H386">
        <v>196089.22500000001</v>
      </c>
      <c r="I386">
        <v>22</v>
      </c>
    </row>
    <row r="387" spans="1:9" x14ac:dyDescent="0.3">
      <c r="A387" s="8">
        <v>43979</v>
      </c>
      <c r="B387" t="s">
        <v>10</v>
      </c>
      <c r="C387">
        <v>30982.5</v>
      </c>
      <c r="D387">
        <v>2827773</v>
      </c>
      <c r="E387">
        <v>20</v>
      </c>
      <c r="F387">
        <v>1886</v>
      </c>
      <c r="G387">
        <v>1736</v>
      </c>
      <c r="H387">
        <v>141388.65</v>
      </c>
      <c r="I387">
        <v>22</v>
      </c>
    </row>
    <row r="388" spans="1:9" x14ac:dyDescent="0.3">
      <c r="A388" s="8">
        <v>43977</v>
      </c>
      <c r="B388" t="s">
        <v>11</v>
      </c>
      <c r="C388">
        <v>79975.5</v>
      </c>
      <c r="D388">
        <v>6676459.5</v>
      </c>
      <c r="E388">
        <v>31</v>
      </c>
      <c r="F388">
        <v>5493</v>
      </c>
      <c r="G388">
        <v>5119</v>
      </c>
      <c r="H388">
        <v>215369.66129032258</v>
      </c>
      <c r="I388">
        <v>22</v>
      </c>
    </row>
    <row r="389" spans="1:9" x14ac:dyDescent="0.3">
      <c r="A389" s="8">
        <v>43976</v>
      </c>
      <c r="B389" t="s">
        <v>11</v>
      </c>
      <c r="C389">
        <v>76999.5</v>
      </c>
      <c r="D389">
        <v>6645603</v>
      </c>
      <c r="E389">
        <v>31</v>
      </c>
      <c r="F389">
        <v>5210</v>
      </c>
      <c r="G389">
        <v>4841</v>
      </c>
      <c r="H389">
        <v>214374.29032258064</v>
      </c>
      <c r="I389">
        <v>22</v>
      </c>
    </row>
    <row r="390" spans="1:9" x14ac:dyDescent="0.3">
      <c r="A390" s="8">
        <v>43977</v>
      </c>
      <c r="B390" t="s">
        <v>12</v>
      </c>
      <c r="C390">
        <v>11835</v>
      </c>
      <c r="D390">
        <v>983109</v>
      </c>
      <c r="E390">
        <v>10</v>
      </c>
      <c r="F390">
        <v>692</v>
      </c>
      <c r="G390">
        <v>601</v>
      </c>
      <c r="H390">
        <v>98310.9</v>
      </c>
      <c r="I390">
        <v>22</v>
      </c>
    </row>
    <row r="391" spans="1:9" x14ac:dyDescent="0.3">
      <c r="A391" s="8">
        <v>43982</v>
      </c>
      <c r="B391" t="s">
        <v>11</v>
      </c>
      <c r="C391">
        <v>89149.5</v>
      </c>
      <c r="D391">
        <v>7512646.5</v>
      </c>
      <c r="E391">
        <v>31</v>
      </c>
      <c r="F391">
        <v>5760</v>
      </c>
      <c r="G391">
        <v>5367</v>
      </c>
      <c r="H391">
        <v>242343.43548387097</v>
      </c>
      <c r="I391">
        <v>22</v>
      </c>
    </row>
    <row r="392" spans="1:9" x14ac:dyDescent="0.3">
      <c r="A392" s="8">
        <v>43981</v>
      </c>
      <c r="B392" t="s">
        <v>11</v>
      </c>
      <c r="C392">
        <v>108123</v>
      </c>
      <c r="D392">
        <v>9164707.5</v>
      </c>
      <c r="E392">
        <v>31</v>
      </c>
      <c r="F392">
        <v>6735</v>
      </c>
      <c r="G392">
        <v>6264</v>
      </c>
      <c r="H392">
        <v>295635.72580645164</v>
      </c>
      <c r="I392">
        <v>22</v>
      </c>
    </row>
    <row r="393" spans="1:9" x14ac:dyDescent="0.3">
      <c r="A393" s="8">
        <v>43979</v>
      </c>
      <c r="B393" t="s">
        <v>11</v>
      </c>
      <c r="C393">
        <v>78141</v>
      </c>
      <c r="D393">
        <v>6641569.5</v>
      </c>
      <c r="E393">
        <v>31</v>
      </c>
      <c r="F393">
        <v>5355</v>
      </c>
      <c r="G393">
        <v>4969</v>
      </c>
      <c r="H393">
        <v>214244.17741935485</v>
      </c>
      <c r="I393">
        <v>22</v>
      </c>
    </row>
    <row r="394" spans="1:9" x14ac:dyDescent="0.3">
      <c r="A394" s="8">
        <v>43976</v>
      </c>
      <c r="B394" t="s">
        <v>12</v>
      </c>
      <c r="C394">
        <v>12280.5</v>
      </c>
      <c r="D394">
        <v>1030440</v>
      </c>
      <c r="E394">
        <v>10</v>
      </c>
      <c r="F394">
        <v>739</v>
      </c>
      <c r="G394">
        <v>642</v>
      </c>
      <c r="H394">
        <v>103044</v>
      </c>
      <c r="I394">
        <v>22</v>
      </c>
    </row>
    <row r="395" spans="1:9" x14ac:dyDescent="0.3">
      <c r="A395" s="8">
        <v>43982</v>
      </c>
      <c r="B395" t="s">
        <v>12</v>
      </c>
      <c r="C395">
        <v>12724.5</v>
      </c>
      <c r="D395">
        <v>1045515</v>
      </c>
      <c r="E395">
        <v>10</v>
      </c>
      <c r="F395">
        <v>749</v>
      </c>
      <c r="G395">
        <v>655</v>
      </c>
      <c r="H395">
        <v>104551.5</v>
      </c>
      <c r="I395">
        <v>22</v>
      </c>
    </row>
    <row r="396" spans="1:9" x14ac:dyDescent="0.3">
      <c r="A396" s="8">
        <v>43981</v>
      </c>
      <c r="B396" t="s">
        <v>12</v>
      </c>
      <c r="C396">
        <v>14728.5</v>
      </c>
      <c r="D396">
        <v>1260483</v>
      </c>
      <c r="E396">
        <v>10</v>
      </c>
      <c r="F396">
        <v>865</v>
      </c>
      <c r="G396">
        <v>763</v>
      </c>
      <c r="H396">
        <v>126048.3</v>
      </c>
      <c r="I396">
        <v>22</v>
      </c>
    </row>
    <row r="397" spans="1:9" x14ac:dyDescent="0.3">
      <c r="A397" s="8">
        <v>43979</v>
      </c>
      <c r="B397" t="s">
        <v>12</v>
      </c>
      <c r="C397">
        <v>13038</v>
      </c>
      <c r="D397">
        <v>1114552.5</v>
      </c>
      <c r="E397">
        <v>10</v>
      </c>
      <c r="F397">
        <v>791</v>
      </c>
      <c r="G397">
        <v>697</v>
      </c>
      <c r="H397">
        <v>111455.25</v>
      </c>
      <c r="I397">
        <v>22</v>
      </c>
    </row>
    <row r="398" spans="1:9" x14ac:dyDescent="0.3">
      <c r="A398" s="8">
        <v>43977</v>
      </c>
      <c r="B398" t="s">
        <v>13</v>
      </c>
      <c r="C398">
        <v>31407</v>
      </c>
      <c r="D398">
        <v>2907411</v>
      </c>
      <c r="E398">
        <v>20</v>
      </c>
      <c r="F398">
        <v>2036</v>
      </c>
      <c r="G398">
        <v>1790</v>
      </c>
      <c r="H398">
        <v>145370.54999999999</v>
      </c>
      <c r="I398">
        <v>22</v>
      </c>
    </row>
    <row r="399" spans="1:9" x14ac:dyDescent="0.3">
      <c r="A399" s="8">
        <v>43976</v>
      </c>
      <c r="B399" t="s">
        <v>13</v>
      </c>
      <c r="C399">
        <v>30603</v>
      </c>
      <c r="D399">
        <v>2865727.5</v>
      </c>
      <c r="E399">
        <v>20</v>
      </c>
      <c r="F399">
        <v>2011</v>
      </c>
      <c r="G399">
        <v>1791</v>
      </c>
      <c r="H399">
        <v>143286.375</v>
      </c>
      <c r="I399">
        <v>22</v>
      </c>
    </row>
    <row r="400" spans="1:9" x14ac:dyDescent="0.3">
      <c r="A400" s="8">
        <v>43982</v>
      </c>
      <c r="B400" t="s">
        <v>13</v>
      </c>
      <c r="C400">
        <v>32359.5</v>
      </c>
      <c r="D400">
        <v>2991999</v>
      </c>
      <c r="E400">
        <v>20</v>
      </c>
      <c r="F400">
        <v>2060</v>
      </c>
      <c r="G400">
        <v>1826</v>
      </c>
      <c r="H400">
        <v>149599.95000000001</v>
      </c>
      <c r="I400">
        <v>22</v>
      </c>
    </row>
    <row r="401" spans="1:9" x14ac:dyDescent="0.3">
      <c r="A401" s="8">
        <v>43981</v>
      </c>
      <c r="B401" t="s">
        <v>13</v>
      </c>
      <c r="C401">
        <v>39867</v>
      </c>
      <c r="D401">
        <v>3654166.5</v>
      </c>
      <c r="E401">
        <v>20</v>
      </c>
      <c r="F401">
        <v>2451</v>
      </c>
      <c r="G401">
        <v>2178</v>
      </c>
      <c r="H401">
        <v>182708.32500000001</v>
      </c>
      <c r="I401">
        <v>22</v>
      </c>
    </row>
    <row r="402" spans="1:9" x14ac:dyDescent="0.3">
      <c r="A402" s="8">
        <v>43979</v>
      </c>
      <c r="B402" t="s">
        <v>13</v>
      </c>
      <c r="C402">
        <v>31974</v>
      </c>
      <c r="D402">
        <v>3004213.5</v>
      </c>
      <c r="E402">
        <v>20</v>
      </c>
      <c r="F402">
        <v>2088</v>
      </c>
      <c r="G402">
        <v>1848</v>
      </c>
      <c r="H402">
        <v>150210.67499999999</v>
      </c>
      <c r="I402">
        <v>22</v>
      </c>
    </row>
    <row r="403" spans="1:9" x14ac:dyDescent="0.3">
      <c r="A403" s="8">
        <v>43977</v>
      </c>
      <c r="B403" t="s">
        <v>14</v>
      </c>
      <c r="C403">
        <v>276966</v>
      </c>
      <c r="D403">
        <v>27872617.898850001</v>
      </c>
      <c r="E403">
        <v>129</v>
      </c>
      <c r="F403">
        <v>16459</v>
      </c>
      <c r="G403">
        <v>15355</v>
      </c>
      <c r="H403">
        <v>216066.80541744188</v>
      </c>
      <c r="I403">
        <v>22</v>
      </c>
    </row>
    <row r="404" spans="1:9" x14ac:dyDescent="0.3">
      <c r="A404" s="8">
        <v>43976</v>
      </c>
      <c r="B404" t="s">
        <v>14</v>
      </c>
      <c r="C404">
        <v>266983.5</v>
      </c>
      <c r="D404">
        <v>27165913.5</v>
      </c>
      <c r="E404">
        <v>129</v>
      </c>
      <c r="F404">
        <v>15822</v>
      </c>
      <c r="G404">
        <v>14753</v>
      </c>
      <c r="H404">
        <v>210588.47674418605</v>
      </c>
      <c r="I404">
        <v>22</v>
      </c>
    </row>
    <row r="405" spans="1:9" x14ac:dyDescent="0.3">
      <c r="A405" s="8">
        <v>43977</v>
      </c>
      <c r="B405" t="s">
        <v>15</v>
      </c>
      <c r="C405">
        <v>369861</v>
      </c>
      <c r="D405">
        <v>38365960.5</v>
      </c>
      <c r="E405">
        <v>124</v>
      </c>
      <c r="F405">
        <v>21153</v>
      </c>
      <c r="G405">
        <v>19673</v>
      </c>
      <c r="H405">
        <v>309402.90725806454</v>
      </c>
      <c r="I405">
        <v>22</v>
      </c>
    </row>
    <row r="406" spans="1:9" x14ac:dyDescent="0.3">
      <c r="A406" s="8">
        <v>43982</v>
      </c>
      <c r="B406" t="s">
        <v>14</v>
      </c>
      <c r="C406">
        <v>294337.5</v>
      </c>
      <c r="D406">
        <v>29327766</v>
      </c>
      <c r="E406">
        <v>129</v>
      </c>
      <c r="F406">
        <v>17235</v>
      </c>
      <c r="G406">
        <v>16052</v>
      </c>
      <c r="H406">
        <v>227347.02325581395</v>
      </c>
      <c r="I406">
        <v>22</v>
      </c>
    </row>
    <row r="407" spans="1:9" x14ac:dyDescent="0.3">
      <c r="A407" s="8">
        <v>43981</v>
      </c>
      <c r="B407" t="s">
        <v>14</v>
      </c>
      <c r="C407">
        <v>364882.5</v>
      </c>
      <c r="D407">
        <v>35724493.5</v>
      </c>
      <c r="E407">
        <v>129</v>
      </c>
      <c r="F407">
        <v>20243</v>
      </c>
      <c r="G407">
        <v>18711</v>
      </c>
      <c r="H407">
        <v>276934.0581395349</v>
      </c>
      <c r="I407">
        <v>22</v>
      </c>
    </row>
    <row r="408" spans="1:9" x14ac:dyDescent="0.3">
      <c r="A408" s="8">
        <v>43979</v>
      </c>
      <c r="B408" t="s">
        <v>14</v>
      </c>
      <c r="C408">
        <v>278491.5</v>
      </c>
      <c r="D408">
        <v>28151004.75</v>
      </c>
      <c r="E408">
        <v>129</v>
      </c>
      <c r="F408">
        <v>16453</v>
      </c>
      <c r="G408">
        <v>15289</v>
      </c>
      <c r="H408">
        <v>218224.84302325582</v>
      </c>
      <c r="I408">
        <v>22</v>
      </c>
    </row>
    <row r="409" spans="1:9" x14ac:dyDescent="0.3">
      <c r="A409" s="8">
        <v>43976</v>
      </c>
      <c r="B409" t="s">
        <v>15</v>
      </c>
      <c r="C409">
        <v>349734</v>
      </c>
      <c r="D409">
        <v>36883428</v>
      </c>
      <c r="E409">
        <v>124</v>
      </c>
      <c r="F409">
        <v>20358</v>
      </c>
      <c r="G409">
        <v>18890</v>
      </c>
      <c r="H409">
        <v>297447</v>
      </c>
      <c r="I409">
        <v>22</v>
      </c>
    </row>
    <row r="410" spans="1:9" x14ac:dyDescent="0.3">
      <c r="A410" s="8">
        <v>43977</v>
      </c>
      <c r="B410" t="s">
        <v>16</v>
      </c>
      <c r="C410">
        <v>67726.5</v>
      </c>
      <c r="D410">
        <v>5864989.5</v>
      </c>
      <c r="E410">
        <v>36</v>
      </c>
      <c r="F410">
        <v>4770</v>
      </c>
      <c r="G410">
        <v>4424</v>
      </c>
      <c r="H410">
        <v>162916.375</v>
      </c>
      <c r="I410">
        <v>22</v>
      </c>
    </row>
    <row r="411" spans="1:9" x14ac:dyDescent="0.3">
      <c r="A411" s="8">
        <v>43982</v>
      </c>
      <c r="B411" t="s">
        <v>15</v>
      </c>
      <c r="C411">
        <v>379663.5</v>
      </c>
      <c r="D411">
        <v>39380178</v>
      </c>
      <c r="E411">
        <v>124</v>
      </c>
      <c r="F411">
        <v>21392</v>
      </c>
      <c r="G411">
        <v>19869</v>
      </c>
      <c r="H411">
        <v>317582.08064516127</v>
      </c>
      <c r="I411">
        <v>22</v>
      </c>
    </row>
    <row r="412" spans="1:9" x14ac:dyDescent="0.3">
      <c r="A412" s="8">
        <v>43981</v>
      </c>
      <c r="B412" t="s">
        <v>15</v>
      </c>
      <c r="C412">
        <v>453123</v>
      </c>
      <c r="D412">
        <v>46370904</v>
      </c>
      <c r="E412">
        <v>124</v>
      </c>
      <c r="F412">
        <v>24325</v>
      </c>
      <c r="G412">
        <v>22469</v>
      </c>
      <c r="H412">
        <v>373958.90322580643</v>
      </c>
      <c r="I412">
        <v>22</v>
      </c>
    </row>
    <row r="413" spans="1:9" x14ac:dyDescent="0.3">
      <c r="A413" s="8">
        <v>43979</v>
      </c>
      <c r="B413" t="s">
        <v>15</v>
      </c>
      <c r="C413">
        <v>364638</v>
      </c>
      <c r="D413">
        <v>37947688.5</v>
      </c>
      <c r="E413">
        <v>124</v>
      </c>
      <c r="F413">
        <v>20868</v>
      </c>
      <c r="G413">
        <v>19342</v>
      </c>
      <c r="H413">
        <v>306029.74596774194</v>
      </c>
      <c r="I413">
        <v>22</v>
      </c>
    </row>
    <row r="414" spans="1:9" x14ac:dyDescent="0.3">
      <c r="A414" s="8">
        <v>43976</v>
      </c>
      <c r="B414" t="s">
        <v>16</v>
      </c>
      <c r="C414">
        <v>66316.5</v>
      </c>
      <c r="D414">
        <v>5704650</v>
      </c>
      <c r="E414">
        <v>36</v>
      </c>
      <c r="F414">
        <v>4641</v>
      </c>
      <c r="G414">
        <v>4274</v>
      </c>
      <c r="H414">
        <v>158462.5</v>
      </c>
      <c r="I414">
        <v>22</v>
      </c>
    </row>
    <row r="415" spans="1:9" x14ac:dyDescent="0.3">
      <c r="A415" s="8">
        <v>43977</v>
      </c>
      <c r="B415" t="s">
        <v>17</v>
      </c>
      <c r="C415">
        <v>40744.5</v>
      </c>
      <c r="D415">
        <v>3700311</v>
      </c>
      <c r="E415">
        <v>21</v>
      </c>
      <c r="F415">
        <v>2418</v>
      </c>
      <c r="G415">
        <v>2215</v>
      </c>
      <c r="H415">
        <v>176205.28571428571</v>
      </c>
      <c r="I415">
        <v>22</v>
      </c>
    </row>
    <row r="416" spans="1:9" x14ac:dyDescent="0.3">
      <c r="A416" s="8">
        <v>43982</v>
      </c>
      <c r="B416" t="s">
        <v>16</v>
      </c>
      <c r="C416">
        <v>76234.5</v>
      </c>
      <c r="D416">
        <v>6500848.5</v>
      </c>
      <c r="E416">
        <v>37</v>
      </c>
      <c r="F416">
        <v>5215</v>
      </c>
      <c r="G416">
        <v>4848</v>
      </c>
      <c r="H416">
        <v>175698.60810810811</v>
      </c>
      <c r="I416">
        <v>22</v>
      </c>
    </row>
    <row r="417" spans="1:9" x14ac:dyDescent="0.3">
      <c r="A417" s="8">
        <v>43981</v>
      </c>
      <c r="B417" t="s">
        <v>16</v>
      </c>
      <c r="C417">
        <v>106926</v>
      </c>
      <c r="D417">
        <v>9098386.5</v>
      </c>
      <c r="E417">
        <v>37</v>
      </c>
      <c r="F417">
        <v>6645</v>
      </c>
      <c r="G417">
        <v>6122</v>
      </c>
      <c r="H417">
        <v>245902.33783783784</v>
      </c>
      <c r="I417">
        <v>22</v>
      </c>
    </row>
    <row r="418" spans="1:9" x14ac:dyDescent="0.3">
      <c r="A418" s="8">
        <v>43979</v>
      </c>
      <c r="B418" t="s">
        <v>16</v>
      </c>
      <c r="C418">
        <v>69945</v>
      </c>
      <c r="D418">
        <v>6101931</v>
      </c>
      <c r="E418">
        <v>37</v>
      </c>
      <c r="F418">
        <v>4840</v>
      </c>
      <c r="G418">
        <v>4475</v>
      </c>
      <c r="H418">
        <v>164917.05405405405</v>
      </c>
      <c r="I418">
        <v>22</v>
      </c>
    </row>
    <row r="419" spans="1:9" x14ac:dyDescent="0.3">
      <c r="A419" s="8">
        <v>43976</v>
      </c>
      <c r="B419" t="s">
        <v>17</v>
      </c>
      <c r="C419">
        <v>38740.5</v>
      </c>
      <c r="D419">
        <v>3561655.5</v>
      </c>
      <c r="E419">
        <v>21</v>
      </c>
      <c r="F419">
        <v>2330</v>
      </c>
      <c r="G419">
        <v>2142</v>
      </c>
      <c r="H419">
        <v>169602.64285714287</v>
      </c>
      <c r="I419">
        <v>22</v>
      </c>
    </row>
    <row r="420" spans="1:9" x14ac:dyDescent="0.3">
      <c r="A420" s="8">
        <v>43982</v>
      </c>
      <c r="B420" t="s">
        <v>17</v>
      </c>
      <c r="C420">
        <v>42423</v>
      </c>
      <c r="D420">
        <v>3994153.5</v>
      </c>
      <c r="E420">
        <v>23</v>
      </c>
      <c r="F420">
        <v>2522</v>
      </c>
      <c r="G420">
        <v>2295</v>
      </c>
      <c r="H420">
        <v>173658.84782608695</v>
      </c>
      <c r="I420">
        <v>22</v>
      </c>
    </row>
    <row r="421" spans="1:9" x14ac:dyDescent="0.3">
      <c r="A421" s="8">
        <v>43981</v>
      </c>
      <c r="B421" t="s">
        <v>17</v>
      </c>
      <c r="C421">
        <v>48286.5</v>
      </c>
      <c r="D421">
        <v>4456441.5</v>
      </c>
      <c r="E421">
        <v>22</v>
      </c>
      <c r="F421">
        <v>2793</v>
      </c>
      <c r="G421">
        <v>2539</v>
      </c>
      <c r="H421">
        <v>202565.52272727274</v>
      </c>
      <c r="I421">
        <v>22</v>
      </c>
    </row>
    <row r="422" spans="1:9" x14ac:dyDescent="0.3">
      <c r="A422" s="8">
        <v>43979</v>
      </c>
      <c r="B422" t="s">
        <v>17</v>
      </c>
      <c r="C422">
        <v>41442</v>
      </c>
      <c r="D422">
        <v>3893680.5</v>
      </c>
      <c r="E422">
        <v>22</v>
      </c>
      <c r="F422">
        <v>2454</v>
      </c>
      <c r="G422">
        <v>2239</v>
      </c>
      <c r="H422">
        <v>176985.47727272726</v>
      </c>
      <c r="I422">
        <v>22</v>
      </c>
    </row>
    <row r="423" spans="1:9" x14ac:dyDescent="0.3">
      <c r="A423" s="8">
        <v>43977</v>
      </c>
      <c r="B423" t="s">
        <v>18</v>
      </c>
      <c r="C423">
        <v>17391</v>
      </c>
      <c r="D423">
        <v>1489132.5</v>
      </c>
      <c r="E423">
        <v>17</v>
      </c>
      <c r="F423">
        <v>1140</v>
      </c>
      <c r="G423">
        <v>1016</v>
      </c>
      <c r="H423">
        <v>87596.029411764699</v>
      </c>
      <c r="I423">
        <v>22</v>
      </c>
    </row>
    <row r="424" spans="1:9" x14ac:dyDescent="0.3">
      <c r="A424" s="8">
        <v>43976</v>
      </c>
      <c r="B424" t="s">
        <v>18</v>
      </c>
      <c r="C424">
        <v>17211</v>
      </c>
      <c r="D424">
        <v>1507867.5</v>
      </c>
      <c r="E424">
        <v>17</v>
      </c>
      <c r="F424">
        <v>1142</v>
      </c>
      <c r="G424">
        <v>1020</v>
      </c>
      <c r="H424">
        <v>88698.088235294112</v>
      </c>
      <c r="I424">
        <v>22</v>
      </c>
    </row>
    <row r="425" spans="1:9" x14ac:dyDescent="0.3">
      <c r="A425" s="8">
        <v>43977</v>
      </c>
      <c r="B425" t="s">
        <v>19</v>
      </c>
      <c r="C425">
        <v>12259.5</v>
      </c>
      <c r="D425">
        <v>1152054</v>
      </c>
      <c r="E425">
        <v>15</v>
      </c>
      <c r="F425">
        <v>812</v>
      </c>
      <c r="G425">
        <v>711</v>
      </c>
      <c r="H425">
        <v>76803.600000000006</v>
      </c>
      <c r="I425">
        <v>22</v>
      </c>
    </row>
    <row r="426" spans="1:9" x14ac:dyDescent="0.3">
      <c r="A426" s="8">
        <v>43982</v>
      </c>
      <c r="B426" t="s">
        <v>18</v>
      </c>
      <c r="C426">
        <v>17689.5</v>
      </c>
      <c r="D426">
        <v>1592119.5</v>
      </c>
      <c r="E426">
        <v>17</v>
      </c>
      <c r="F426">
        <v>1186</v>
      </c>
      <c r="G426">
        <v>1054</v>
      </c>
      <c r="H426">
        <v>93654.088235294112</v>
      </c>
      <c r="I426">
        <v>22</v>
      </c>
    </row>
    <row r="427" spans="1:9" x14ac:dyDescent="0.3">
      <c r="A427" s="8">
        <v>43981</v>
      </c>
      <c r="B427" t="s">
        <v>18</v>
      </c>
      <c r="C427">
        <v>27250.5</v>
      </c>
      <c r="D427">
        <v>2457252</v>
      </c>
      <c r="E427">
        <v>17</v>
      </c>
      <c r="F427">
        <v>1697</v>
      </c>
      <c r="G427">
        <v>1499</v>
      </c>
      <c r="H427">
        <v>144544.23529411765</v>
      </c>
      <c r="I427">
        <v>22</v>
      </c>
    </row>
    <row r="428" spans="1:9" x14ac:dyDescent="0.3">
      <c r="A428" s="8">
        <v>43979</v>
      </c>
      <c r="B428" t="s">
        <v>18</v>
      </c>
      <c r="C428">
        <v>16500</v>
      </c>
      <c r="D428">
        <v>1487928</v>
      </c>
      <c r="E428">
        <v>17</v>
      </c>
      <c r="F428">
        <v>1097</v>
      </c>
      <c r="G428">
        <v>968</v>
      </c>
      <c r="H428">
        <v>87525.176470588238</v>
      </c>
      <c r="I428">
        <v>22</v>
      </c>
    </row>
    <row r="429" spans="1:9" x14ac:dyDescent="0.3">
      <c r="A429" s="8">
        <v>43976</v>
      </c>
      <c r="B429" t="s">
        <v>19</v>
      </c>
      <c r="C429">
        <v>13260</v>
      </c>
      <c r="D429">
        <v>1230687</v>
      </c>
      <c r="E429">
        <v>15</v>
      </c>
      <c r="F429">
        <v>835</v>
      </c>
      <c r="G429">
        <v>736</v>
      </c>
      <c r="H429">
        <v>82045.8</v>
      </c>
      <c r="I429">
        <v>22</v>
      </c>
    </row>
    <row r="430" spans="1:9" x14ac:dyDescent="0.3">
      <c r="A430" s="8">
        <v>43977</v>
      </c>
      <c r="B430" t="s">
        <v>20</v>
      </c>
      <c r="C430">
        <v>27156</v>
      </c>
      <c r="D430">
        <v>2410803</v>
      </c>
      <c r="E430">
        <v>20</v>
      </c>
      <c r="F430">
        <v>1814</v>
      </c>
      <c r="G430">
        <v>1655</v>
      </c>
      <c r="H430">
        <v>120540.15</v>
      </c>
      <c r="I430">
        <v>22</v>
      </c>
    </row>
    <row r="431" spans="1:9" x14ac:dyDescent="0.3">
      <c r="A431" s="8">
        <v>43982</v>
      </c>
      <c r="B431" t="s">
        <v>19</v>
      </c>
      <c r="C431">
        <v>14808</v>
      </c>
      <c r="D431">
        <v>1336789.5</v>
      </c>
      <c r="E431">
        <v>16</v>
      </c>
      <c r="F431">
        <v>917</v>
      </c>
      <c r="G431">
        <v>802</v>
      </c>
      <c r="H431">
        <v>83549.34375</v>
      </c>
      <c r="I431">
        <v>22</v>
      </c>
    </row>
    <row r="432" spans="1:9" x14ac:dyDescent="0.3">
      <c r="A432" s="8">
        <v>43981</v>
      </c>
      <c r="B432" t="s">
        <v>19</v>
      </c>
      <c r="C432">
        <v>17946</v>
      </c>
      <c r="D432">
        <v>1609090.5</v>
      </c>
      <c r="E432">
        <v>16</v>
      </c>
      <c r="F432">
        <v>1048</v>
      </c>
      <c r="G432">
        <v>918</v>
      </c>
      <c r="H432">
        <v>100568.15625</v>
      </c>
      <c r="I432">
        <v>22</v>
      </c>
    </row>
    <row r="433" spans="1:9" x14ac:dyDescent="0.3">
      <c r="A433" s="8">
        <v>43979</v>
      </c>
      <c r="B433" t="s">
        <v>19</v>
      </c>
      <c r="C433">
        <v>13864.5</v>
      </c>
      <c r="D433">
        <v>1239747</v>
      </c>
      <c r="E433">
        <v>16</v>
      </c>
      <c r="F433">
        <v>876</v>
      </c>
      <c r="G433">
        <v>762</v>
      </c>
      <c r="H433">
        <v>77484.1875</v>
      </c>
      <c r="I433">
        <v>22</v>
      </c>
    </row>
    <row r="434" spans="1:9" x14ac:dyDescent="0.3">
      <c r="A434" s="8">
        <v>43976</v>
      </c>
      <c r="B434" t="s">
        <v>20</v>
      </c>
      <c r="C434">
        <v>28494</v>
      </c>
      <c r="D434">
        <v>2512803</v>
      </c>
      <c r="E434">
        <v>20</v>
      </c>
      <c r="F434">
        <v>1899</v>
      </c>
      <c r="G434">
        <v>1738</v>
      </c>
      <c r="H434">
        <v>125640.15</v>
      </c>
      <c r="I434">
        <v>22</v>
      </c>
    </row>
    <row r="435" spans="1:9" x14ac:dyDescent="0.3">
      <c r="A435" s="8">
        <v>43982</v>
      </c>
      <c r="B435" t="s">
        <v>20</v>
      </c>
      <c r="C435">
        <v>31372.5</v>
      </c>
      <c r="D435">
        <v>2794324.5</v>
      </c>
      <c r="E435">
        <v>21</v>
      </c>
      <c r="F435">
        <v>2056</v>
      </c>
      <c r="G435">
        <v>1879</v>
      </c>
      <c r="H435">
        <v>133063.07142857142</v>
      </c>
      <c r="I435">
        <v>22</v>
      </c>
    </row>
    <row r="436" spans="1:9" x14ac:dyDescent="0.3">
      <c r="A436" s="8">
        <v>43981</v>
      </c>
      <c r="B436" t="s">
        <v>20</v>
      </c>
      <c r="C436">
        <v>34681.5</v>
      </c>
      <c r="D436">
        <v>3005334</v>
      </c>
      <c r="E436">
        <v>20</v>
      </c>
      <c r="F436">
        <v>2174</v>
      </c>
      <c r="G436">
        <v>1957</v>
      </c>
      <c r="H436">
        <v>150266.70000000001</v>
      </c>
      <c r="I436">
        <v>22</v>
      </c>
    </row>
    <row r="437" spans="1:9" x14ac:dyDescent="0.3">
      <c r="A437" s="8">
        <v>43979</v>
      </c>
      <c r="B437" t="s">
        <v>20</v>
      </c>
      <c r="C437">
        <v>28197</v>
      </c>
      <c r="D437">
        <v>2559211.5</v>
      </c>
      <c r="E437">
        <v>20</v>
      </c>
      <c r="F437">
        <v>1875</v>
      </c>
      <c r="G437">
        <v>1701</v>
      </c>
      <c r="H437">
        <v>127960.575</v>
      </c>
      <c r="I437">
        <v>22</v>
      </c>
    </row>
    <row r="438" spans="1:9" x14ac:dyDescent="0.3">
      <c r="A438" s="8">
        <v>43977</v>
      </c>
      <c r="B438" t="s">
        <v>21</v>
      </c>
      <c r="C438">
        <v>244905</v>
      </c>
      <c r="D438">
        <v>25163431.5</v>
      </c>
      <c r="E438">
        <v>59</v>
      </c>
      <c r="F438">
        <v>15369</v>
      </c>
      <c r="G438">
        <v>14299</v>
      </c>
      <c r="H438">
        <v>426498.83898305084</v>
      </c>
      <c r="I438">
        <v>22</v>
      </c>
    </row>
    <row r="439" spans="1:9" x14ac:dyDescent="0.3">
      <c r="A439" s="8">
        <v>43976</v>
      </c>
      <c r="B439" t="s">
        <v>21</v>
      </c>
      <c r="C439">
        <v>198751.5</v>
      </c>
      <c r="D439">
        <v>20582743.5</v>
      </c>
      <c r="E439">
        <v>59</v>
      </c>
      <c r="F439">
        <v>12983</v>
      </c>
      <c r="G439">
        <v>12056</v>
      </c>
      <c r="H439">
        <v>348860.05932203389</v>
      </c>
      <c r="I439">
        <v>22</v>
      </c>
    </row>
    <row r="440" spans="1:9" x14ac:dyDescent="0.3">
      <c r="A440" s="8">
        <v>43977</v>
      </c>
      <c r="B440" t="s">
        <v>22</v>
      </c>
      <c r="C440">
        <v>232369.5</v>
      </c>
      <c r="D440">
        <v>23856345</v>
      </c>
      <c r="E440">
        <v>54</v>
      </c>
      <c r="F440">
        <v>14482</v>
      </c>
      <c r="G440">
        <v>13510</v>
      </c>
      <c r="H440">
        <v>441784.16666666669</v>
      </c>
      <c r="I440">
        <v>22</v>
      </c>
    </row>
    <row r="441" spans="1:9" x14ac:dyDescent="0.3">
      <c r="A441" s="8">
        <v>43982</v>
      </c>
      <c r="B441" t="s">
        <v>21</v>
      </c>
      <c r="C441">
        <v>215277</v>
      </c>
      <c r="D441">
        <v>21585316.5</v>
      </c>
      <c r="E441">
        <v>59</v>
      </c>
      <c r="F441">
        <v>13684</v>
      </c>
      <c r="G441">
        <v>12690</v>
      </c>
      <c r="H441">
        <v>365852.82203389832</v>
      </c>
      <c r="I441">
        <v>22</v>
      </c>
    </row>
    <row r="442" spans="1:9" x14ac:dyDescent="0.3">
      <c r="A442" s="8">
        <v>43981</v>
      </c>
      <c r="B442" t="s">
        <v>21</v>
      </c>
      <c r="C442">
        <v>246414</v>
      </c>
      <c r="D442">
        <v>24527245.5</v>
      </c>
      <c r="E442">
        <v>59</v>
      </c>
      <c r="F442">
        <v>15030</v>
      </c>
      <c r="G442">
        <v>13956</v>
      </c>
      <c r="H442">
        <v>415716.0254237288</v>
      </c>
      <c r="I442">
        <v>22</v>
      </c>
    </row>
    <row r="443" spans="1:9" x14ac:dyDescent="0.3">
      <c r="A443" s="8">
        <v>43979</v>
      </c>
      <c r="B443" t="s">
        <v>21</v>
      </c>
      <c r="C443">
        <v>199753.5</v>
      </c>
      <c r="D443">
        <v>20535733.5</v>
      </c>
      <c r="E443">
        <v>60</v>
      </c>
      <c r="F443">
        <v>12854</v>
      </c>
      <c r="G443">
        <v>11954</v>
      </c>
      <c r="H443">
        <v>342262.22499999998</v>
      </c>
      <c r="I443">
        <v>22</v>
      </c>
    </row>
    <row r="444" spans="1:9" x14ac:dyDescent="0.3">
      <c r="A444" s="8">
        <v>43976</v>
      </c>
      <c r="B444" t="s">
        <v>22</v>
      </c>
      <c r="C444">
        <v>192948</v>
      </c>
      <c r="D444">
        <v>19806927</v>
      </c>
      <c r="E444">
        <v>54</v>
      </c>
      <c r="F444">
        <v>12336</v>
      </c>
      <c r="G444">
        <v>11519</v>
      </c>
      <c r="H444">
        <v>366794.94444444444</v>
      </c>
      <c r="I444">
        <v>22</v>
      </c>
    </row>
    <row r="445" spans="1:9" x14ac:dyDescent="0.3">
      <c r="A445" s="8">
        <v>43982</v>
      </c>
      <c r="B445" t="s">
        <v>22</v>
      </c>
      <c r="C445">
        <v>206758.5</v>
      </c>
      <c r="D445">
        <v>20717248.5</v>
      </c>
      <c r="E445">
        <v>54</v>
      </c>
      <c r="F445">
        <v>13106</v>
      </c>
      <c r="G445">
        <v>12164</v>
      </c>
      <c r="H445">
        <v>383652.75</v>
      </c>
      <c r="I445">
        <v>22</v>
      </c>
    </row>
    <row r="446" spans="1:9" x14ac:dyDescent="0.3">
      <c r="A446" s="8">
        <v>43981</v>
      </c>
      <c r="B446" t="s">
        <v>22</v>
      </c>
      <c r="C446">
        <v>244734</v>
      </c>
      <c r="D446">
        <v>24151980</v>
      </c>
      <c r="E446">
        <v>54</v>
      </c>
      <c r="F446">
        <v>14590</v>
      </c>
      <c r="G446">
        <v>13551</v>
      </c>
      <c r="H446">
        <v>447258.88888888888</v>
      </c>
      <c r="I446">
        <v>22</v>
      </c>
    </row>
    <row r="447" spans="1:9" x14ac:dyDescent="0.3">
      <c r="A447" s="8">
        <v>43979</v>
      </c>
      <c r="B447" t="s">
        <v>22</v>
      </c>
      <c r="C447">
        <v>191641.5</v>
      </c>
      <c r="D447">
        <v>19549036.5</v>
      </c>
      <c r="E447">
        <v>54</v>
      </c>
      <c r="F447">
        <v>12409</v>
      </c>
      <c r="G447">
        <v>11582</v>
      </c>
      <c r="H447">
        <v>362019.19444444444</v>
      </c>
      <c r="I447">
        <v>22</v>
      </c>
    </row>
    <row r="448" spans="1:9" x14ac:dyDescent="0.3">
      <c r="A448" s="8">
        <v>43977</v>
      </c>
      <c r="B448" t="s">
        <v>24</v>
      </c>
      <c r="C448">
        <v>10437</v>
      </c>
      <c r="D448">
        <v>833815.5</v>
      </c>
      <c r="E448">
        <v>7</v>
      </c>
      <c r="F448">
        <v>577</v>
      </c>
      <c r="G448">
        <v>389</v>
      </c>
      <c r="H448">
        <v>119116.5</v>
      </c>
      <c r="I448">
        <v>22</v>
      </c>
    </row>
    <row r="449" spans="1:9" x14ac:dyDescent="0.3">
      <c r="A449" s="8">
        <v>43976</v>
      </c>
      <c r="B449" t="s">
        <v>23</v>
      </c>
      <c r="C449">
        <v>15807</v>
      </c>
      <c r="D449">
        <v>1326705</v>
      </c>
      <c r="E449">
        <v>18</v>
      </c>
      <c r="F449">
        <v>989</v>
      </c>
      <c r="G449">
        <v>887</v>
      </c>
      <c r="H449">
        <v>73705.833333333328</v>
      </c>
      <c r="I449">
        <v>22</v>
      </c>
    </row>
    <row r="450" spans="1:9" x14ac:dyDescent="0.3">
      <c r="A450" s="8">
        <v>43977</v>
      </c>
      <c r="B450" t="s">
        <v>23</v>
      </c>
      <c r="C450">
        <v>14419.5</v>
      </c>
      <c r="D450">
        <v>1210456.5</v>
      </c>
      <c r="E450">
        <v>18</v>
      </c>
      <c r="F450">
        <v>914</v>
      </c>
      <c r="G450">
        <v>804</v>
      </c>
      <c r="H450">
        <v>67247.583333333328</v>
      </c>
      <c r="I450">
        <v>22</v>
      </c>
    </row>
    <row r="451" spans="1:9" x14ac:dyDescent="0.3">
      <c r="A451" s="8">
        <v>43982</v>
      </c>
      <c r="B451" t="s">
        <v>25</v>
      </c>
      <c r="C451">
        <v>6409.5</v>
      </c>
      <c r="D451">
        <v>493893</v>
      </c>
      <c r="E451">
        <v>9</v>
      </c>
      <c r="F451">
        <v>345</v>
      </c>
      <c r="G451">
        <v>255</v>
      </c>
      <c r="H451">
        <v>54877</v>
      </c>
      <c r="I451">
        <v>22</v>
      </c>
    </row>
    <row r="452" spans="1:9" x14ac:dyDescent="0.3">
      <c r="A452" s="8">
        <v>43981</v>
      </c>
      <c r="B452" t="s">
        <v>24</v>
      </c>
      <c r="C452">
        <v>11220</v>
      </c>
      <c r="D452">
        <v>928675.5</v>
      </c>
      <c r="E452">
        <v>7</v>
      </c>
      <c r="F452">
        <v>532</v>
      </c>
      <c r="G452">
        <v>449</v>
      </c>
      <c r="H452">
        <v>132667.92857142858</v>
      </c>
      <c r="I452">
        <v>22</v>
      </c>
    </row>
    <row r="453" spans="1:9" x14ac:dyDescent="0.3">
      <c r="A453" s="8">
        <v>43980</v>
      </c>
      <c r="B453" t="s">
        <v>9</v>
      </c>
      <c r="C453">
        <v>8350.5</v>
      </c>
      <c r="D453">
        <v>651237</v>
      </c>
      <c r="E453">
        <v>15</v>
      </c>
      <c r="F453">
        <v>400</v>
      </c>
      <c r="G453">
        <v>329</v>
      </c>
      <c r="H453">
        <v>43415.8</v>
      </c>
      <c r="I453">
        <v>22</v>
      </c>
    </row>
    <row r="454" spans="1:9" x14ac:dyDescent="0.3">
      <c r="A454" s="8">
        <v>43979</v>
      </c>
      <c r="B454" t="s">
        <v>24</v>
      </c>
      <c r="C454">
        <v>8428.5</v>
      </c>
      <c r="D454">
        <v>694669.5</v>
      </c>
      <c r="E454">
        <v>7</v>
      </c>
      <c r="F454">
        <v>420</v>
      </c>
      <c r="G454">
        <v>347</v>
      </c>
      <c r="H454">
        <v>99238.5</v>
      </c>
      <c r="I454">
        <v>22</v>
      </c>
    </row>
    <row r="455" spans="1:9" x14ac:dyDescent="0.3">
      <c r="A455" s="8">
        <v>43978</v>
      </c>
      <c r="B455" t="s">
        <v>10</v>
      </c>
      <c r="C455">
        <v>32817</v>
      </c>
      <c r="D455">
        <v>3015751.5</v>
      </c>
      <c r="E455">
        <v>20</v>
      </c>
      <c r="F455">
        <v>2079</v>
      </c>
      <c r="G455">
        <v>1893</v>
      </c>
      <c r="H455">
        <v>150787.57500000001</v>
      </c>
      <c r="I455">
        <v>22</v>
      </c>
    </row>
    <row r="456" spans="1:9" x14ac:dyDescent="0.3">
      <c r="A456" s="8">
        <v>43982</v>
      </c>
      <c r="B456" t="s">
        <v>26</v>
      </c>
      <c r="C456">
        <v>5127</v>
      </c>
      <c r="D456">
        <v>468835.5</v>
      </c>
      <c r="E456">
        <v>6</v>
      </c>
      <c r="F456">
        <v>261</v>
      </c>
      <c r="G456">
        <v>188</v>
      </c>
      <c r="H456">
        <v>78139.25</v>
      </c>
      <c r="I456">
        <v>22</v>
      </c>
    </row>
    <row r="457" spans="1:9" x14ac:dyDescent="0.3">
      <c r="A457" s="8">
        <v>43981</v>
      </c>
      <c r="B457" t="s">
        <v>23</v>
      </c>
      <c r="C457">
        <v>20688</v>
      </c>
      <c r="D457">
        <v>1773154.5</v>
      </c>
      <c r="E457">
        <v>18</v>
      </c>
      <c r="F457">
        <v>1216</v>
      </c>
      <c r="G457">
        <v>1101</v>
      </c>
      <c r="H457">
        <v>98508.583333333328</v>
      </c>
      <c r="I457">
        <v>22</v>
      </c>
    </row>
    <row r="458" spans="1:9" x14ac:dyDescent="0.3">
      <c r="A458" s="8">
        <v>43979</v>
      </c>
      <c r="B458" t="s">
        <v>23</v>
      </c>
      <c r="C458">
        <v>15678</v>
      </c>
      <c r="D458">
        <v>1387443</v>
      </c>
      <c r="E458">
        <v>18</v>
      </c>
      <c r="F458">
        <v>1020</v>
      </c>
      <c r="G458">
        <v>911</v>
      </c>
      <c r="H458">
        <v>77080.166666666672</v>
      </c>
      <c r="I458">
        <v>22</v>
      </c>
    </row>
    <row r="459" spans="1:9" x14ac:dyDescent="0.3">
      <c r="A459" s="8">
        <v>43982</v>
      </c>
      <c r="B459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v>123717.64285714286</v>
      </c>
      <c r="I459">
        <v>22</v>
      </c>
    </row>
    <row r="460" spans="1:9" x14ac:dyDescent="0.3">
      <c r="A460" s="8">
        <v>43980</v>
      </c>
      <c r="B460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v>159658.35</v>
      </c>
      <c r="I460">
        <v>22</v>
      </c>
    </row>
    <row r="461" spans="1:9" x14ac:dyDescent="0.3">
      <c r="A461" s="8">
        <v>43978</v>
      </c>
      <c r="B461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v>216163.98387096773</v>
      </c>
      <c r="I461">
        <v>22</v>
      </c>
    </row>
    <row r="462" spans="1:9" x14ac:dyDescent="0.3">
      <c r="A462" s="8">
        <v>43982</v>
      </c>
      <c r="B462" t="s">
        <v>23</v>
      </c>
      <c r="C462">
        <v>16143</v>
      </c>
      <c r="D462">
        <v>1423410</v>
      </c>
      <c r="E462">
        <v>18</v>
      </c>
      <c r="F462">
        <v>1029</v>
      </c>
      <c r="G462">
        <v>925</v>
      </c>
      <c r="H462">
        <v>79078.333333333328</v>
      </c>
      <c r="I462">
        <v>22</v>
      </c>
    </row>
    <row r="463" spans="1:9" x14ac:dyDescent="0.3">
      <c r="A463" s="8">
        <v>43978</v>
      </c>
      <c r="B463" t="s">
        <v>12</v>
      </c>
      <c r="C463">
        <v>12490.5</v>
      </c>
      <c r="D463">
        <v>1054798.5</v>
      </c>
      <c r="E463">
        <v>10</v>
      </c>
      <c r="F463">
        <v>757</v>
      </c>
      <c r="G463">
        <v>660</v>
      </c>
      <c r="H463">
        <v>105479.85</v>
      </c>
      <c r="I463">
        <v>22</v>
      </c>
    </row>
    <row r="464" spans="1:9" x14ac:dyDescent="0.3">
      <c r="A464" s="8">
        <v>43980</v>
      </c>
      <c r="B464" t="s">
        <v>11</v>
      </c>
      <c r="C464">
        <v>87552</v>
      </c>
      <c r="D464">
        <v>7387116</v>
      </c>
      <c r="E464">
        <v>31</v>
      </c>
      <c r="F464">
        <v>5751</v>
      </c>
      <c r="G464">
        <v>5319</v>
      </c>
      <c r="H464">
        <v>238294.06451612903</v>
      </c>
      <c r="I464">
        <v>22</v>
      </c>
    </row>
    <row r="465" spans="1:9" x14ac:dyDescent="0.3">
      <c r="A465" s="8">
        <v>43980</v>
      </c>
      <c r="B465" t="s">
        <v>12</v>
      </c>
      <c r="C465">
        <v>14823</v>
      </c>
      <c r="D465">
        <v>1273464</v>
      </c>
      <c r="E465">
        <v>10</v>
      </c>
      <c r="F465">
        <v>873</v>
      </c>
      <c r="G465">
        <v>770</v>
      </c>
      <c r="H465">
        <v>127346.4</v>
      </c>
      <c r="I465">
        <v>22</v>
      </c>
    </row>
    <row r="466" spans="1:9" x14ac:dyDescent="0.3">
      <c r="A466" s="8">
        <v>43978</v>
      </c>
      <c r="B466" t="s">
        <v>13</v>
      </c>
      <c r="C466">
        <v>31257</v>
      </c>
      <c r="D466">
        <v>2924133</v>
      </c>
      <c r="E466">
        <v>20</v>
      </c>
      <c r="F466">
        <v>2079</v>
      </c>
      <c r="G466">
        <v>1856</v>
      </c>
      <c r="H466">
        <v>146206.65</v>
      </c>
      <c r="I466">
        <v>22</v>
      </c>
    </row>
    <row r="467" spans="1:9" x14ac:dyDescent="0.3">
      <c r="A467" s="8">
        <v>43980</v>
      </c>
      <c r="B467" t="s">
        <v>13</v>
      </c>
      <c r="C467">
        <v>35346</v>
      </c>
      <c r="D467">
        <v>3258054</v>
      </c>
      <c r="E467">
        <v>20</v>
      </c>
      <c r="F467">
        <v>2249</v>
      </c>
      <c r="G467">
        <v>2000</v>
      </c>
      <c r="H467">
        <v>162902.70000000001</v>
      </c>
      <c r="I467">
        <v>22</v>
      </c>
    </row>
    <row r="468" spans="1:9" x14ac:dyDescent="0.3">
      <c r="A468" s="8">
        <v>43978</v>
      </c>
      <c r="B468" t="s">
        <v>14</v>
      </c>
      <c r="C468">
        <v>286558.5</v>
      </c>
      <c r="D468">
        <v>29256993</v>
      </c>
      <c r="E468" t="e">
        <v>#N/A</v>
      </c>
      <c r="F468" t="e">
        <v>#N/A</v>
      </c>
      <c r="G468" t="e">
        <v>#N/A</v>
      </c>
      <c r="H468" t="e">
        <v>#N/A</v>
      </c>
      <c r="I468">
        <v>22</v>
      </c>
    </row>
    <row r="469" spans="1:9" x14ac:dyDescent="0.3">
      <c r="A469" s="8">
        <v>43978</v>
      </c>
      <c r="B469" t="s">
        <v>15</v>
      </c>
      <c r="C469">
        <v>370012.5</v>
      </c>
      <c r="D469">
        <v>39034861.5</v>
      </c>
      <c r="E469" t="e">
        <v>#N/A</v>
      </c>
      <c r="F469" t="e">
        <v>#N/A</v>
      </c>
      <c r="G469" t="e">
        <v>#N/A</v>
      </c>
      <c r="H469" t="e">
        <v>#N/A</v>
      </c>
      <c r="I469">
        <v>22</v>
      </c>
    </row>
    <row r="470" spans="1:9" x14ac:dyDescent="0.3">
      <c r="A470" s="8">
        <v>43980</v>
      </c>
      <c r="B470" t="s">
        <v>14</v>
      </c>
      <c r="C470">
        <v>422965.5</v>
      </c>
      <c r="D470">
        <v>41767140.105000004</v>
      </c>
      <c r="E470">
        <v>129</v>
      </c>
      <c r="F470">
        <v>22403</v>
      </c>
      <c r="G470">
        <v>20676</v>
      </c>
      <c r="H470">
        <v>323776.27988372097</v>
      </c>
      <c r="I470">
        <v>22</v>
      </c>
    </row>
    <row r="471" spans="1:9" x14ac:dyDescent="0.3">
      <c r="A471" s="8">
        <v>43978</v>
      </c>
      <c r="B471" t="s">
        <v>16</v>
      </c>
      <c r="C471">
        <v>69010.5</v>
      </c>
      <c r="D471">
        <v>5985894</v>
      </c>
      <c r="E471" t="e">
        <v>#N/A</v>
      </c>
      <c r="F471" t="e">
        <v>#N/A</v>
      </c>
      <c r="G471" t="e">
        <v>#N/A</v>
      </c>
      <c r="H471" t="e">
        <v>#N/A</v>
      </c>
      <c r="I471">
        <v>22</v>
      </c>
    </row>
    <row r="472" spans="1:9" x14ac:dyDescent="0.3">
      <c r="A472" s="8">
        <v>43980</v>
      </c>
      <c r="B472" t="s">
        <v>15</v>
      </c>
      <c r="C472">
        <v>524481</v>
      </c>
      <c r="D472">
        <v>54172029</v>
      </c>
      <c r="E472">
        <v>124</v>
      </c>
      <c r="F472">
        <v>25828</v>
      </c>
      <c r="G472">
        <v>23974</v>
      </c>
      <c r="H472">
        <v>436871.20161290321</v>
      </c>
      <c r="I472">
        <v>22</v>
      </c>
    </row>
    <row r="473" spans="1:9" x14ac:dyDescent="0.3">
      <c r="A473" s="8">
        <v>43978</v>
      </c>
      <c r="B473" t="s">
        <v>17</v>
      </c>
      <c r="C473">
        <v>40420.5</v>
      </c>
      <c r="D473">
        <v>3780852</v>
      </c>
      <c r="E473" t="e">
        <v>#N/A</v>
      </c>
      <c r="F473" t="e">
        <v>#N/A</v>
      </c>
      <c r="G473" t="e">
        <v>#N/A</v>
      </c>
      <c r="H473" t="e">
        <v>#N/A</v>
      </c>
      <c r="I473">
        <v>22</v>
      </c>
    </row>
    <row r="474" spans="1:9" x14ac:dyDescent="0.3">
      <c r="A474" s="8">
        <v>43980</v>
      </c>
      <c r="B474" t="s">
        <v>16</v>
      </c>
      <c r="C474">
        <v>84433.5</v>
      </c>
      <c r="D474">
        <v>7228395</v>
      </c>
      <c r="E474" t="e">
        <v>#N/A</v>
      </c>
      <c r="F474" t="e">
        <v>#N/A</v>
      </c>
      <c r="G474" t="e">
        <v>#N/A</v>
      </c>
      <c r="H474" t="e">
        <v>#N/A</v>
      </c>
      <c r="I474">
        <v>22</v>
      </c>
    </row>
    <row r="475" spans="1:9" x14ac:dyDescent="0.3">
      <c r="A475" s="8">
        <v>43980</v>
      </c>
      <c r="B475" t="s">
        <v>17</v>
      </c>
      <c r="C475">
        <v>44569.5</v>
      </c>
      <c r="D475">
        <v>4108596</v>
      </c>
      <c r="E475" t="e">
        <v>#N/A</v>
      </c>
      <c r="F475" t="e">
        <v>#N/A</v>
      </c>
      <c r="G475" t="e">
        <v>#N/A</v>
      </c>
      <c r="H475" t="e">
        <v>#N/A</v>
      </c>
      <c r="I475">
        <v>22</v>
      </c>
    </row>
    <row r="476" spans="1:9" x14ac:dyDescent="0.3">
      <c r="A476" s="8">
        <v>43978</v>
      </c>
      <c r="B476" t="s">
        <v>18</v>
      </c>
      <c r="C476">
        <v>18069</v>
      </c>
      <c r="D476">
        <v>1603084.5</v>
      </c>
      <c r="E476" t="e">
        <v>#N/A</v>
      </c>
      <c r="F476" t="e">
        <v>#N/A</v>
      </c>
      <c r="G476" t="e">
        <v>#N/A</v>
      </c>
      <c r="H476" t="e">
        <v>#N/A</v>
      </c>
      <c r="I476">
        <v>22</v>
      </c>
    </row>
    <row r="477" spans="1:9" x14ac:dyDescent="0.3">
      <c r="A477" s="8">
        <v>43978</v>
      </c>
      <c r="B477" t="s">
        <v>19</v>
      </c>
      <c r="C477">
        <v>13203</v>
      </c>
      <c r="D477">
        <v>1211457</v>
      </c>
      <c r="E477" t="e">
        <v>#N/A</v>
      </c>
      <c r="F477" t="e">
        <v>#N/A</v>
      </c>
      <c r="G477" t="e">
        <v>#N/A</v>
      </c>
      <c r="H477" t="e">
        <v>#N/A</v>
      </c>
      <c r="I477">
        <v>22</v>
      </c>
    </row>
    <row r="478" spans="1:9" x14ac:dyDescent="0.3">
      <c r="A478" s="8">
        <v>43980</v>
      </c>
      <c r="B478" t="s">
        <v>18</v>
      </c>
      <c r="C478">
        <v>19647</v>
      </c>
      <c r="D478">
        <v>1764669</v>
      </c>
      <c r="E478" t="e">
        <v>#N/A</v>
      </c>
      <c r="F478" t="e">
        <v>#N/A</v>
      </c>
      <c r="G478" t="e">
        <v>#N/A</v>
      </c>
      <c r="H478" t="e">
        <v>#N/A</v>
      </c>
      <c r="I478">
        <v>22</v>
      </c>
    </row>
    <row r="479" spans="1:9" x14ac:dyDescent="0.3">
      <c r="A479" s="8">
        <v>43978</v>
      </c>
      <c r="B479" t="s">
        <v>20</v>
      </c>
      <c r="C479">
        <v>28050</v>
      </c>
      <c r="D479">
        <v>2458555.5</v>
      </c>
      <c r="E479" t="e">
        <v>#N/A</v>
      </c>
      <c r="F479" t="e">
        <v>#N/A</v>
      </c>
      <c r="G479" t="e">
        <v>#N/A</v>
      </c>
      <c r="H479" t="e">
        <v>#N/A</v>
      </c>
      <c r="I479">
        <v>22</v>
      </c>
    </row>
    <row r="480" spans="1:9" x14ac:dyDescent="0.3">
      <c r="A480" s="8">
        <v>43980</v>
      </c>
      <c r="B480" t="s">
        <v>19</v>
      </c>
      <c r="C480">
        <v>17052</v>
      </c>
      <c r="D480">
        <v>1549020</v>
      </c>
      <c r="E480" t="e">
        <v>#N/A</v>
      </c>
      <c r="F480" t="e">
        <v>#N/A</v>
      </c>
      <c r="G480" t="e">
        <v>#N/A</v>
      </c>
      <c r="H480" t="e">
        <v>#N/A</v>
      </c>
      <c r="I480">
        <v>22</v>
      </c>
    </row>
    <row r="481" spans="1:9" x14ac:dyDescent="0.3">
      <c r="A481" s="8">
        <v>43980</v>
      </c>
      <c r="B481" t="s">
        <v>20</v>
      </c>
      <c r="C481">
        <v>32782.5</v>
      </c>
      <c r="D481">
        <v>2854741.5</v>
      </c>
      <c r="E481" t="e">
        <v>#N/A</v>
      </c>
      <c r="F481" t="e">
        <v>#N/A</v>
      </c>
      <c r="G481" t="e">
        <v>#N/A</v>
      </c>
      <c r="H481" t="e">
        <v>#N/A</v>
      </c>
      <c r="I481">
        <v>22</v>
      </c>
    </row>
    <row r="482" spans="1:9" x14ac:dyDescent="0.3">
      <c r="A482" s="8">
        <v>43978</v>
      </c>
      <c r="B482" t="s">
        <v>21</v>
      </c>
      <c r="C482">
        <v>215592</v>
      </c>
      <c r="D482">
        <v>22342300.5</v>
      </c>
      <c r="E482" t="e">
        <v>#N/A</v>
      </c>
      <c r="F482" t="e">
        <v>#N/A</v>
      </c>
      <c r="G482" t="e">
        <v>#N/A</v>
      </c>
      <c r="H482" t="e">
        <v>#N/A</v>
      </c>
      <c r="I482">
        <v>22</v>
      </c>
    </row>
    <row r="483" spans="1:9" x14ac:dyDescent="0.3">
      <c r="A483" s="8">
        <v>43978</v>
      </c>
      <c r="B483" t="s">
        <v>22</v>
      </c>
      <c r="C483">
        <v>203532</v>
      </c>
      <c r="D483">
        <v>20953324.5</v>
      </c>
      <c r="E483" t="e">
        <v>#N/A</v>
      </c>
      <c r="F483" t="e">
        <v>#N/A</v>
      </c>
      <c r="G483" t="e">
        <v>#N/A</v>
      </c>
      <c r="H483" t="e">
        <v>#N/A</v>
      </c>
      <c r="I483">
        <v>22</v>
      </c>
    </row>
    <row r="484" spans="1:9" x14ac:dyDescent="0.3">
      <c r="A484" s="8">
        <v>43980</v>
      </c>
      <c r="B484" t="s">
        <v>21</v>
      </c>
      <c r="C484">
        <v>232102.5</v>
      </c>
      <c r="D484">
        <v>23120443.5</v>
      </c>
      <c r="E484" t="e">
        <v>#N/A</v>
      </c>
      <c r="F484" t="e">
        <v>#N/A</v>
      </c>
      <c r="G484" t="e">
        <v>#N/A</v>
      </c>
      <c r="H484" t="e">
        <v>#N/A</v>
      </c>
      <c r="I484">
        <v>22</v>
      </c>
    </row>
    <row r="485" spans="1:9" x14ac:dyDescent="0.3">
      <c r="A485" s="8">
        <v>43980</v>
      </c>
      <c r="B485" t="s">
        <v>22</v>
      </c>
      <c r="C485">
        <v>226476</v>
      </c>
      <c r="D485">
        <v>22416151.5</v>
      </c>
      <c r="E485" t="e">
        <v>#N/A</v>
      </c>
      <c r="F485" t="e">
        <v>#N/A</v>
      </c>
      <c r="G485" t="e">
        <v>#N/A</v>
      </c>
      <c r="H485" t="e">
        <v>#N/A</v>
      </c>
      <c r="I485">
        <v>22</v>
      </c>
    </row>
    <row r="486" spans="1:9" x14ac:dyDescent="0.3">
      <c r="A486" s="8">
        <v>43978</v>
      </c>
      <c r="B486" t="s">
        <v>24</v>
      </c>
      <c r="C486">
        <v>8362.5</v>
      </c>
      <c r="D486">
        <v>687684</v>
      </c>
      <c r="E486" t="e">
        <v>#N/A</v>
      </c>
      <c r="F486" t="e">
        <v>#N/A</v>
      </c>
      <c r="G486" t="e">
        <v>#N/A</v>
      </c>
      <c r="H486" t="e">
        <v>#N/A</v>
      </c>
      <c r="I486">
        <v>22</v>
      </c>
    </row>
    <row r="487" spans="1:9" x14ac:dyDescent="0.3">
      <c r="A487" s="8">
        <v>43978</v>
      </c>
      <c r="B487" t="s">
        <v>23</v>
      </c>
      <c r="C487">
        <v>15276</v>
      </c>
      <c r="D487">
        <v>1350199.5</v>
      </c>
      <c r="E487" t="e">
        <v>#N/A</v>
      </c>
      <c r="F487" t="e">
        <v>#N/A</v>
      </c>
      <c r="G487" t="e">
        <v>#N/A</v>
      </c>
      <c r="H487" t="e">
        <v>#N/A</v>
      </c>
      <c r="I487">
        <v>22</v>
      </c>
    </row>
    <row r="488" spans="1:9" x14ac:dyDescent="0.3">
      <c r="A488" s="8">
        <v>43980</v>
      </c>
      <c r="B488" t="s">
        <v>24</v>
      </c>
      <c r="C488">
        <v>9927</v>
      </c>
      <c r="D488">
        <v>850840.5</v>
      </c>
      <c r="E488" t="e">
        <v>#N/A</v>
      </c>
      <c r="F488" t="e">
        <v>#N/A</v>
      </c>
      <c r="G488" t="e">
        <v>#N/A</v>
      </c>
      <c r="H488" t="e">
        <v>#N/A</v>
      </c>
      <c r="I488">
        <v>22</v>
      </c>
    </row>
    <row r="489" spans="1:9" x14ac:dyDescent="0.3">
      <c r="A489" s="8">
        <v>43980</v>
      </c>
      <c r="B489" t="s">
        <v>23</v>
      </c>
      <c r="C489">
        <v>16878</v>
      </c>
      <c r="D489">
        <v>1438255.5</v>
      </c>
      <c r="E489" t="e">
        <v>#N/A</v>
      </c>
      <c r="F489" t="e">
        <v>#N/A</v>
      </c>
      <c r="G489" t="e">
        <v>#N/A</v>
      </c>
      <c r="H489" t="e">
        <v>#N/A</v>
      </c>
      <c r="I489">
        <v>22</v>
      </c>
    </row>
    <row r="490" spans="1:9" x14ac:dyDescent="0.3">
      <c r="A490" s="8">
        <v>43983</v>
      </c>
      <c r="B490" t="s">
        <v>9</v>
      </c>
      <c r="C490">
        <v>7816.5</v>
      </c>
      <c r="D490">
        <v>636345</v>
      </c>
      <c r="E490">
        <v>15</v>
      </c>
      <c r="F490">
        <v>453</v>
      </c>
      <c r="G490">
        <v>370</v>
      </c>
      <c r="H490">
        <v>42423</v>
      </c>
      <c r="I490">
        <v>23</v>
      </c>
    </row>
    <row r="491" spans="1:9" x14ac:dyDescent="0.3">
      <c r="A491" s="8">
        <v>43983</v>
      </c>
      <c r="B491" t="s">
        <v>10</v>
      </c>
      <c r="C491">
        <v>31947</v>
      </c>
      <c r="D491">
        <v>2945035.5</v>
      </c>
      <c r="E491">
        <v>21</v>
      </c>
      <c r="F491">
        <v>2025</v>
      </c>
      <c r="G491">
        <v>1849</v>
      </c>
      <c r="H491">
        <v>140239.78571428571</v>
      </c>
      <c r="I491">
        <v>23</v>
      </c>
    </row>
    <row r="492" spans="1:9" x14ac:dyDescent="0.3">
      <c r="A492" s="8">
        <v>43983</v>
      </c>
      <c r="B492" t="s">
        <v>11</v>
      </c>
      <c r="C492">
        <v>77269.5</v>
      </c>
      <c r="D492">
        <v>6829921.5</v>
      </c>
      <c r="E492">
        <v>31</v>
      </c>
      <c r="F492">
        <v>5468</v>
      </c>
      <c r="G492">
        <v>5081</v>
      </c>
      <c r="H492">
        <v>220320.04838709679</v>
      </c>
      <c r="I492">
        <v>23</v>
      </c>
    </row>
    <row r="493" spans="1:9" x14ac:dyDescent="0.3">
      <c r="A493" s="8">
        <v>43983</v>
      </c>
      <c r="B493" t="s">
        <v>12</v>
      </c>
      <c r="C493">
        <v>11416.5</v>
      </c>
      <c r="D493">
        <v>1007742</v>
      </c>
      <c r="E493">
        <v>10</v>
      </c>
      <c r="F493">
        <v>719</v>
      </c>
      <c r="G493">
        <v>627</v>
      </c>
      <c r="H493">
        <v>100774.2</v>
      </c>
      <c r="I493">
        <v>23</v>
      </c>
    </row>
    <row r="494" spans="1:9" x14ac:dyDescent="0.3">
      <c r="A494" s="8">
        <v>43983</v>
      </c>
      <c r="B494" t="s">
        <v>13</v>
      </c>
      <c r="C494">
        <v>32170.5</v>
      </c>
      <c r="D494">
        <v>3013512</v>
      </c>
      <c r="E494">
        <v>20</v>
      </c>
      <c r="F494">
        <v>2136</v>
      </c>
      <c r="G494">
        <v>1899</v>
      </c>
      <c r="H494">
        <v>150675.6</v>
      </c>
      <c r="I494">
        <v>23</v>
      </c>
    </row>
    <row r="495" spans="1:9" x14ac:dyDescent="0.3">
      <c r="A495" s="8">
        <v>43983</v>
      </c>
      <c r="B495" t="s">
        <v>14</v>
      </c>
      <c r="C495">
        <v>272926.5</v>
      </c>
      <c r="D495">
        <v>27770092.5</v>
      </c>
      <c r="E495">
        <v>128</v>
      </c>
      <c r="F495">
        <v>16285</v>
      </c>
      <c r="G495">
        <v>15130</v>
      </c>
      <c r="H495">
        <v>216953.84765625</v>
      </c>
      <c r="I495">
        <v>23</v>
      </c>
    </row>
    <row r="496" spans="1:9" x14ac:dyDescent="0.3">
      <c r="A496" s="8">
        <v>43983</v>
      </c>
      <c r="B496" t="s">
        <v>15</v>
      </c>
      <c r="C496">
        <v>349699.5</v>
      </c>
      <c r="D496">
        <v>37257840.18135</v>
      </c>
      <c r="E496">
        <v>123</v>
      </c>
      <c r="F496">
        <v>20325</v>
      </c>
      <c r="G496">
        <v>18935</v>
      </c>
      <c r="H496">
        <v>302909.26976707316</v>
      </c>
      <c r="I496">
        <v>23</v>
      </c>
    </row>
    <row r="497" spans="1:9" x14ac:dyDescent="0.3">
      <c r="A497" s="8">
        <v>43983</v>
      </c>
      <c r="B497" t="s">
        <v>16</v>
      </c>
      <c r="C497">
        <v>64740</v>
      </c>
      <c r="D497">
        <v>5800290</v>
      </c>
      <c r="E497">
        <v>37</v>
      </c>
      <c r="F497">
        <v>4722</v>
      </c>
      <c r="G497">
        <v>4352</v>
      </c>
      <c r="H497">
        <v>156764.59459459459</v>
      </c>
      <c r="I497">
        <v>23</v>
      </c>
    </row>
    <row r="498" spans="1:9" x14ac:dyDescent="0.3">
      <c r="A498" s="8">
        <v>43983</v>
      </c>
      <c r="B498" t="s">
        <v>17</v>
      </c>
      <c r="C498">
        <v>40528.5</v>
      </c>
      <c r="D498">
        <v>3865251</v>
      </c>
      <c r="E498">
        <v>23</v>
      </c>
      <c r="F498">
        <v>2531</v>
      </c>
      <c r="G498">
        <v>2296</v>
      </c>
      <c r="H498">
        <v>168054.39130434784</v>
      </c>
      <c r="I498">
        <v>23</v>
      </c>
    </row>
    <row r="499" spans="1:9" x14ac:dyDescent="0.3">
      <c r="A499" s="8">
        <v>43983</v>
      </c>
      <c r="B499" t="s">
        <v>18</v>
      </c>
      <c r="C499">
        <v>16687.5</v>
      </c>
      <c r="D499">
        <v>1526608.5</v>
      </c>
      <c r="E499">
        <v>17</v>
      </c>
      <c r="F499">
        <v>1185</v>
      </c>
      <c r="G499">
        <v>1042</v>
      </c>
      <c r="H499">
        <v>89800.5</v>
      </c>
      <c r="I499">
        <v>23</v>
      </c>
    </row>
    <row r="500" spans="1:9" x14ac:dyDescent="0.3">
      <c r="A500" s="8">
        <v>43983</v>
      </c>
      <c r="B500" t="s">
        <v>19</v>
      </c>
      <c r="C500">
        <v>16476</v>
      </c>
      <c r="D500">
        <v>1565632.5</v>
      </c>
      <c r="E500">
        <v>16</v>
      </c>
      <c r="F500">
        <v>1019</v>
      </c>
      <c r="G500">
        <v>895</v>
      </c>
      <c r="H500">
        <v>97852.03125</v>
      </c>
      <c r="I500">
        <v>23</v>
      </c>
    </row>
    <row r="501" spans="1:9" x14ac:dyDescent="0.3">
      <c r="A501" s="8">
        <v>43983</v>
      </c>
      <c r="B501" t="s">
        <v>20</v>
      </c>
      <c r="C501">
        <v>27960</v>
      </c>
      <c r="D501">
        <v>2538967.5</v>
      </c>
      <c r="E501">
        <v>21</v>
      </c>
      <c r="F501">
        <v>1879</v>
      </c>
      <c r="G501">
        <v>1720</v>
      </c>
      <c r="H501">
        <v>120903.21428571429</v>
      </c>
      <c r="I501">
        <v>23</v>
      </c>
    </row>
    <row r="502" spans="1:9" x14ac:dyDescent="0.3">
      <c r="A502" s="8">
        <v>43983</v>
      </c>
      <c r="B502" t="s">
        <v>21</v>
      </c>
      <c r="C502">
        <v>188776.5</v>
      </c>
      <c r="D502">
        <v>19465372.5</v>
      </c>
      <c r="E502">
        <v>59</v>
      </c>
      <c r="F502">
        <v>12299</v>
      </c>
      <c r="G502">
        <v>11448</v>
      </c>
      <c r="H502">
        <v>329921.56779661018</v>
      </c>
      <c r="I502">
        <v>23</v>
      </c>
    </row>
    <row r="503" spans="1:9" x14ac:dyDescent="0.3">
      <c r="A503" s="8">
        <v>43983</v>
      </c>
      <c r="B503" t="s">
        <v>22</v>
      </c>
      <c r="C503">
        <v>183228</v>
      </c>
      <c r="D503">
        <v>18914194.5</v>
      </c>
      <c r="E503">
        <v>54</v>
      </c>
      <c r="F503">
        <v>11864</v>
      </c>
      <c r="G503">
        <v>11071</v>
      </c>
      <c r="H503">
        <v>350262.86111111112</v>
      </c>
      <c r="I503">
        <v>23</v>
      </c>
    </row>
    <row r="504" spans="1:9" x14ac:dyDescent="0.3">
      <c r="A504" s="8">
        <v>43983</v>
      </c>
      <c r="B504" t="s">
        <v>25</v>
      </c>
      <c r="C504">
        <v>5166</v>
      </c>
      <c r="D504">
        <v>389013</v>
      </c>
      <c r="E504">
        <v>9</v>
      </c>
      <c r="F504">
        <v>294</v>
      </c>
      <c r="G504">
        <v>224</v>
      </c>
      <c r="H504">
        <v>43223.666666666664</v>
      </c>
      <c r="I504">
        <v>23</v>
      </c>
    </row>
    <row r="505" spans="1:9" x14ac:dyDescent="0.3">
      <c r="A505" s="8">
        <v>43983</v>
      </c>
      <c r="B505" t="s">
        <v>26</v>
      </c>
      <c r="C505">
        <v>4408.5</v>
      </c>
      <c r="D505">
        <v>410892</v>
      </c>
      <c r="E505">
        <v>6</v>
      </c>
      <c r="F505">
        <v>237</v>
      </c>
      <c r="G505">
        <v>175</v>
      </c>
      <c r="H505">
        <v>68482</v>
      </c>
      <c r="I505">
        <v>23</v>
      </c>
    </row>
    <row r="506" spans="1:9" x14ac:dyDescent="0.3">
      <c r="A506" s="8">
        <v>43983</v>
      </c>
      <c r="B506" t="s">
        <v>24</v>
      </c>
      <c r="C506">
        <v>9474</v>
      </c>
      <c r="D506">
        <v>802447.5</v>
      </c>
      <c r="E506">
        <v>7</v>
      </c>
      <c r="F506">
        <v>500</v>
      </c>
      <c r="G506">
        <v>418</v>
      </c>
      <c r="H506">
        <v>114635.35714285714</v>
      </c>
      <c r="I506">
        <v>23</v>
      </c>
    </row>
    <row r="507" spans="1:9" x14ac:dyDescent="0.3">
      <c r="A507" s="8">
        <v>43983</v>
      </c>
      <c r="B507" t="s">
        <v>23</v>
      </c>
      <c r="C507">
        <v>14238</v>
      </c>
      <c r="D507">
        <v>1293219</v>
      </c>
      <c r="H507">
        <v>0</v>
      </c>
      <c r="I507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Sheet_1</vt:lpstr>
      <vt:lpstr>Ответ</vt:lpstr>
      <vt:lpstr>Sheet1</vt:lpstr>
      <vt:lpstr>Sheet2</vt:lpstr>
      <vt:lpstr>Last_week</vt:lpstr>
      <vt:lpstr>Sheet9</vt:lpstr>
      <vt:lpstr>Sheet4</vt:lpstr>
      <vt:lpstr>Detail2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BALNUR SEIITBEK</cp:lastModifiedBy>
  <dcterms:created xsi:type="dcterms:W3CDTF">2021-09-13T10:17:58Z</dcterms:created>
  <dcterms:modified xsi:type="dcterms:W3CDTF">2026-02-14T19:00:29Z</dcterms:modified>
</cp:coreProperties>
</file>